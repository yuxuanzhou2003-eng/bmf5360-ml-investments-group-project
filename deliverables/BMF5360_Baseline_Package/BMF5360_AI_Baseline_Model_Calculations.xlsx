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350ad1982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cce96d43904624"/>
    <x:sheet xmlns:r="http://schemas.openxmlformats.org/officeDocument/2006/relationships" name="Company Universe" sheetId="2" r:id="R0a36fc1ff5784bad"/>
    <x:sheet xmlns:r="http://schemas.openxmlformats.org/officeDocument/2006/relationships" name="Selection Logic" sheetId="3" r:id="R81bea39db95f4db3"/>
    <x:sheet xmlns:r="http://schemas.openxmlformats.org/officeDocument/2006/relationships" name="Factor Dictionary" sheetId="4" r:id="R3ab268bbddfe4442"/>
    <x:sheet xmlns:r="http://schemas.openxmlformats.org/officeDocument/2006/relationships" name="Model Results" sheetId="5" r:id="Rfa46b9b8920e46c5"/>
    <x:sheet xmlns:r="http://schemas.openxmlformats.org/officeDocument/2006/relationships" name="Logistic Coefficients" sheetId="6" r:id="Rdfe3b587217f4f42"/>
    <x:sheet xmlns:r="http://schemas.openxmlformats.org/officeDocument/2006/relationships" name="Processing Audit" sheetId="7" r:id="R4ee2ef040ce5444e"/>
    <x:sheet xmlns:r="http://schemas.openxmlformats.org/officeDocument/2006/relationships" name="Sources" sheetId="8" r:id="R678e9d34c034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%"/>
    <x:numFmt numFmtId="202" formatCode="#,##0"/>
    <x:numFmt numFmtId="203" formatCode="0.000"/>
    <x:numFmt numFmtId="204" formatCode="0"/>
  </x:numFmts>
  <x:fonts count="13">
    <x:font>
      <x:sz val="11"/>
      <x:name val="Carlito"/>
    </x:font>
    <x:font>
      <x:b/>
      <x:sz val="15"/>
      <x:color rgb="FF17365D"/>
      <x:name val="Arial"/>
    </x:font>
    <x:font>
      <x:i/>
      <x:sz val="9"/>
      <x:color rgb="FF5B6573"/>
      <x:name val="Arial"/>
    </x:font>
    <x:font>
      <x:b/>
      <x:sz val="11"/>
      <x:color rgb="FF17365D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7F6000"/>
      <x:name val="Arial"/>
    </x:font>
    <x:font>
      <x:sz val="11"/>
      <x:name val="Arial"/>
    </x:font>
    <x:font>
      <x:b/>
      <x:sz val="10"/>
      <x:color rgb="FF17365D"/>
      <x:name val="Arial"/>
    </x:font>
    <x:font>
      <x:b/>
      <x:sz val="10"/>
      <x:color rgb="FF375623"/>
      <x:name val="Arial"/>
    </x:font>
    <x:font>
      <x:sz val="10"/>
      <x:color rgb="FF17365D"/>
      <x:name val="Arial"/>
    </x:font>
    <x:font>
      <x:b/>
      <x:sz val="11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1">
    <x:border/>
    <x:border>
      <x:bottom style="thin">
        <x:color rgb="FF2F75B5"/>
      </x:bottom>
    </x:border>
    <x:border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B8C4D1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0" fillId="0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3" xfId="0" applyNumberFormat="1" applyFont="1" applyFill="1" applyBorder="1"/>
    <x:xf numFmtId="0" fontId="4" fillId="3" borderId="4" xfId="0" applyNumberFormat="1" applyFont="1" applyFill="1" applyBorder="1"/>
    <x:xf numFmtId="0" fontId="0" fillId="0" borderId="4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0" xfId="0" applyNumberFormat="1" applyFont="1" applyFill="1" applyBorder="1" applyAlignment="1">
      <x:alignment vertical="center"/>
    </x:xf>
    <x:xf numFmtId="203" fontId="6" fillId="0" borderId="7" xfId="0" applyNumberFormat="1" applyFont="1" applyFill="1" applyBorder="1" applyAlignment="1">
      <x:alignment vertical="center"/>
    </x:xf>
    <x:xf numFmtId="203" fontId="6" fillId="0" borderId="8" xfId="0" applyNumberFormat="1" applyFont="1" applyFill="1" applyBorder="1" applyAlignment="1">
      <x:alignment vertical="center"/>
    </x:xf>
    <x:xf numFmtId="203" fontId="6" fillId="0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200" fontId="8" fillId="0" borderId="3" xfId="0" applyNumberFormat="1" applyFont="1" applyFill="1" applyBorder="1"/>
    <x:xf numFmtId="201" fontId="8" fillId="0" borderId="3" xfId="0" applyNumberFormat="1" applyFont="1" applyFill="1" applyBorder="1"/>
    <x:xf numFmtId="202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5" borderId="0" xfId="0" applyNumberFormat="1" applyFont="1" applyFill="1" applyBorder="1"/>
    <x:xf numFmtId="0" fontId="5" fillId="4" borderId="1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9" fillId="0" borderId="9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vertical="center"/>
    </x:xf>
    <x:xf numFmtId="201" fontId="6" fillId="6" borderId="8" xfId="0" applyNumberFormat="1" applyFont="1" applyFill="1" applyBorder="1" applyAlignment="1">
      <x:alignment vertical="center"/>
    </x:xf>
    <x:xf numFmtId="200" fontId="6" fillId="6" borderId="8" xfId="0" applyNumberFormat="1" applyFont="1" applyFill="1" applyBorder="1" applyAlignment="1">
      <x:alignment vertical="center"/>
    </x:xf>
    <x:xf numFmtId="0" fontId="10" fillId="6" borderId="8" xfId="0" applyNumberFormat="1" applyFont="1" applyFill="1" applyBorder="1" applyAlignment="1">
      <x:alignment vertical="center"/>
    </x:xf>
    <x:xf numFmtId="201" fontId="10" fillId="6" borderId="8" xfId="0" applyNumberFormat="1" applyFont="1" applyFill="1" applyBorder="1" applyAlignment="1">
      <x:alignment vertical="center"/>
    </x:xf>
    <x:xf numFmtId="200" fontId="10" fillId="6" borderId="8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11" fillId="0" borderId="7" xfId="0" applyNumberFormat="1" applyFont="1" applyFill="1" applyBorder="1" applyAlignment="1">
      <x:alignment vertical="center"/>
    </x:xf>
    <x:xf numFmtId="0" fontId="11" fillId="0" borderId="8" xfId="0" applyNumberFormat="1" applyFont="1" applyFill="1" applyBorder="1" applyAlignment="1">
      <x:alignment vertical="center"/>
    </x:xf>
    <x:xf numFmtId="0" fontId="11" fillId="0" borderId="9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200" fontId="8" fillId="0" borderId="3" xfId="0" applyNumberFormat="1" applyFont="1" applyFill="1" applyBorder="1" applyAlignment="1">
      <x:alignment vertical="center"/>
    </x:xf>
    <x:xf numFmtId="201" fontId="8" fillId="0" borderId="3" xfId="0" applyNumberFormat="1" applyFont="1" applyFill="1" applyBorder="1" applyAlignment="1">
      <x:alignment vertical="center"/>
    </x:xf>
    <x:xf numFmtId="202" fontId="8" fillId="0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/>
    <x:xf numFmtId="204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b493e54db4c56" /><Relationship Type="http://schemas.openxmlformats.org/officeDocument/2006/relationships/theme" Target="/xl/theme/theme1.xml" Id="R2ef9f7ebfc054e30" /><Relationship Type="http://schemas.microsoft.com/office/2022/11/relationships/FeaturePropertyBag" Target="/xl/featurePropertyBag/featurePropertyBag.xml" Id="R061d72ee224e4721" /><Relationship Type="http://schemas.openxmlformats.org/officeDocument/2006/relationships/sharedStrings" Target="/xl/sharedStrings.xml" Id="Ra27e03fd30964a3f" /><Relationship Type="http://schemas.openxmlformats.org/officeDocument/2006/relationships/worksheet" Target="/xl/worksheets/sheet1.xml" Id="Rcacce96d43904624" /><Relationship Type="http://schemas.openxmlformats.org/officeDocument/2006/relationships/worksheet" Target="/xl/worksheets/sheet2.xml" Id="R0a36fc1ff5784bad" /><Relationship Type="http://schemas.openxmlformats.org/officeDocument/2006/relationships/worksheet" Target="/xl/worksheets/sheet3.xml" Id="R81bea39db95f4db3" /><Relationship Type="http://schemas.openxmlformats.org/officeDocument/2006/relationships/worksheet" Target="/xl/worksheets/sheet4.xml" Id="R3ab268bbddfe4442" /><Relationship Type="http://schemas.openxmlformats.org/officeDocument/2006/relationships/worksheet" Target="/xl/worksheets/sheet5.xml" Id="Rfa46b9b8920e46c5" /><Relationship Type="http://schemas.openxmlformats.org/officeDocument/2006/relationships/worksheet" Target="/xl/worksheets/sheet6.xml" Id="Rdfe3b587217f4f42" /><Relationship Type="http://schemas.openxmlformats.org/officeDocument/2006/relationships/worksheet" Target="/xl/worksheets/sheet7.xml" Id="R4ee2ef040ce5444e" /><Relationship Type="http://schemas.openxmlformats.org/officeDocument/2006/relationships/worksheet" Target="/xl/worksheets/sheet8.xml" Id="R678e9d34c03449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f4f0a5717041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Validation ROC-AUC by Logistic feature set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ROC-AUC</c:v>
          </c:tx>
          <c:cat>
            <c:strRef>
              <c:f>'Summary'!$H$6:$H$9</c:f>
              <c:strCache>
                <c:ptCount val="0"/>
              </c:strCache>
            </c:strRef>
          </c:cat>
          <c:val>
            <c:numRef>
              <c:f>'Summary'!$I$6:$I$9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f4f0a5717041a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906e0b3c35470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9" hidden="0" customWidth="1"/>
    <x:col min="2" max="2" width="72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24" hidden="0" customWidth="1"/>
    <x:col min="9" max="9" width="13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15" hidden="0" customHeight="1">
      <x:c r="A1" s="79"/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</x:row>
    <x:row r="2" ht="18" hidden="0" customHeight="1">
      <x:c r="A2" s="80" t="str">
        <x:v>AI Stock Daily Logistic Baseline - Submission Workbook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</x:row>
    <x:row r="3" ht="15" hidden="0" customHeight="1">
      <x:c r="A3" s="82" t="str">
        <x:v>BMF5360 | validation-only baseline package | test period remains sealed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</x:row>
    <x:row r="4" ht="15" hidden="0" customHeight="1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 ht="15" hidden="0" customHeight="1">
      <x:c r="A5" s="83" t="str">
        <x:v>Exploratory pooled classification result</x:v>
      </x:c>
      <x:c r="B5" s="83"/>
      <x:c r="C5" s="83"/>
      <x:c r="D5" s="83"/>
      <x:c r="E5" s="83"/>
      <x:c r="F5" s="83"/>
      <x:c r="G5" s="79"/>
      <x:c r="H5" s="22" t="str">
        <x:v>Logistic model</x:v>
      </x:c>
      <x:c r="I5" s="23" t="str">
        <x:v>ROC-AUC</x:v>
      </x:c>
      <x:c r="J5" s="79"/>
      <x:c r="K5" s="79"/>
      <x:c r="L5" s="79"/>
      <x:c r="M5" s="79"/>
      <x:c r="N5" s="79"/>
    </x:row>
    <x:row r="6" ht="15" hidden="0" customHeight="1">
      <x:c r="A6" s="84" t="str">
        <x:v>Model</x:v>
      </x:c>
      <x:c r="B6" s="85" t="str">
        <x:v>Technical + macro Logistic</x:v>
      </x:c>
      <x:c r="C6" s="79"/>
      <x:c r="D6" s="79"/>
      <x:c r="E6" s="79"/>
      <x:c r="F6" s="79"/>
      <x:c r="G6" s="79"/>
      <x:c r="H6" s="26" t="str">
        <x:v>Technical only</x:v>
      </x:c>
      <x:c r="I6" s="32" t="n">
        <x:f>'Model Results'!H5</x:f>
        <x:v>0.5394626108380393</x:v>
      </x:c>
      <x:c r="J6" s="79"/>
      <x:c r="K6" s="79"/>
      <x:c r="L6" s="79"/>
      <x:c r="M6" s="79"/>
      <x:c r="N6" s="79"/>
    </x:row>
    <x:row r="7" ht="15" hidden="0" customHeight="1">
      <x:c r="A7" s="86" t="str">
        <x:v>Prediction target</x:v>
      </x:c>
      <x:c r="B7" s="87" t="str">
        <x:v>Future 21-session stock excess return vs SPY &gt; 0</x:v>
      </x:c>
      <x:c r="C7" s="79"/>
      <x:c r="D7" s="79"/>
      <x:c r="E7" s="79"/>
      <x:c r="F7" s="79"/>
      <x:c r="G7" s="79"/>
      <x:c r="H7" s="27" t="str">
        <x:v>Technical + macro</x:v>
      </x:c>
      <x:c r="I7" s="33" t="n">
        <x:f>'Model Results'!H7</x:f>
        <x:v>0.5615590709322795</x:v>
      </x:c>
      <x:c r="J7" s="79"/>
      <x:c r="K7" s="79"/>
      <x:c r="L7" s="79"/>
      <x:c r="M7" s="79"/>
      <x:c r="N7" s="79"/>
    </x:row>
    <x:row r="8" ht="15" hidden="0" customHeight="1">
      <x:c r="A8" s="86" t="str">
        <x:v>Validation ROC-AUC</x:v>
      </x:c>
      <x:c r="B8" s="88" t="n">
        <x:f>'Model Results'!H7</x:f>
        <x:v>0.5615590709322795</x:v>
      </x:c>
      <x:c r="C8" s="79"/>
      <x:c r="D8" s="79"/>
      <x:c r="E8" s="79"/>
      <x:c r="F8" s="79"/>
      <x:c r="G8" s="79"/>
      <x:c r="H8" s="27" t="str">
        <x:v>Technical + AI state</x:v>
      </x:c>
      <x:c r="I8" s="33" t="n">
        <x:f>'Model Results'!H9</x:f>
        <x:v>0.5799395853915363</x:v>
      </x:c>
      <x:c r="J8" s="79"/>
      <x:c r="K8" s="79"/>
      <x:c r="L8" s="79"/>
      <x:c r="M8" s="79"/>
      <x:c r="N8" s="79"/>
    </x:row>
    <x:row r="9" ht="15" hidden="0" customHeight="1">
      <x:c r="A9" s="86" t="str">
        <x:v>Pooled AUC lift vs technical-only</x:v>
      </x:c>
      <x:c r="B9" s="88" t="n">
        <x:f>'Model Results'!H7-'Model Results'!H5</x:f>
        <x:v>0.022096460094240267</x:v>
      </x:c>
      <x:c r="C9" s="79"/>
      <x:c r="D9" s="79"/>
      <x:c r="E9" s="79"/>
      <x:c r="F9" s="79"/>
      <x:c r="G9" s="79"/>
      <x:c r="H9" s="28" t="str">
        <x:v>Full state</x:v>
      </x:c>
      <x:c r="I9" s="34" t="n">
        <x:f>'Model Results'!H11</x:f>
        <x:v>0.5819927063386552</x:v>
      </x:c>
      <x:c r="J9" s="79"/>
      <x:c r="K9" s="79"/>
      <x:c r="L9" s="79"/>
      <x:c r="M9" s="79"/>
      <x:c r="N9" s="79"/>
    </x:row>
    <x:row r="10" ht="15" hidden="0" customHeight="1">
      <x:c r="A10" s="86" t="str">
        <x:v>Validation accuracy at 0.50</x:v>
      </x:c>
      <x:c r="B10" s="89" t="n">
        <x:f>'Model Results'!K7</x:f>
        <x:v>0.5645161290322581</x:v>
      </x:c>
      <x:c r="C10" s="79"/>
      <x:c r="D10" s="79"/>
      <x:c r="E10" s="79"/>
      <x:c r="F10" s="79"/>
      <x:c r="G10" s="79"/>
      <x:c r="H10" s="79"/>
      <x:c r="I10" s="79"/>
      <x:c r="J10" s="79"/>
      <x:c r="K10" s="79"/>
      <x:c r="L10" s="79"/>
      <x:c r="M10" s="79"/>
      <x:c r="N10" s="79"/>
    </x:row>
    <x:row r="11" ht="15" hidden="0" customHeight="1">
      <x:c r="A11" s="86" t="str">
        <x:v>Validation observations</x:v>
      </x:c>
      <x:c r="B11" s="90" t="n">
        <x:f>'Model Results'!D7</x:f>
        <x:v>992</x:v>
      </x:c>
      <x:c r="C11" s="79"/>
      <x:c r="D11" s="79"/>
      <x:c r="E11" s="79"/>
      <x:c r="F11" s="79"/>
      <x:c r="G11" s="79"/>
      <x:c r="H11" s="79"/>
      <x:c r="I11" s="79"/>
      <x:c r="J11" s="79"/>
      <x:c r="K11" s="79"/>
      <x:c r="L11" s="79"/>
      <x:c r="M11" s="79"/>
      <x:c r="N11" s="79"/>
    </x:row>
    <x:row r="12" ht="15" hidden="0" customHeight="1">
      <x:c r="A12" s="86" t="str">
        <x:v>Raw / transformed features</x:v>
      </x:c>
      <x:c r="B12" s="87" t="str">
        <x:f>'Logistic Coefficients'!K5&amp;" / "&amp;'Logistic Coefficients'!K6</x:f>
        <x:v>41 / 42</x:v>
      </x:c>
      <x:c r="C12" s="79"/>
      <x:c r="D12" s="79"/>
      <x:c r="E12" s="79"/>
      <x:c r="F12" s="79"/>
      <x:c r="G12" s="79"/>
      <x:c r="H12" s="79"/>
      <x:c r="I12" s="79"/>
      <x:c r="J12" s="79"/>
      <x:c r="K12" s="79"/>
      <x:c r="L12" s="79"/>
      <x:c r="M12" s="79"/>
      <x:c r="N12" s="79"/>
    </x:row>
    <x:row r="13" ht="15" hidden="0" customHeight="1">
      <x:c r="A13" s="91" t="str">
        <x:v>Test status</x:v>
      </x:c>
      <x:c r="B13" s="92" t="str">
        <x:v>SEALED - no predictions or metrics</x:v>
      </x:c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</x:row>
    <x:row r="14" ht="15" hidden="0" customHeight="1">
      <x:c r="A14" s="79"/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  <x:c r="M14" s="79"/>
      <x:c r="N14" s="79"/>
    </x:row>
    <x:row r="15" ht="15" hidden="0" customHeight="1">
      <x:c r="A15" s="22" t="str">
        <x:v>Logistic specification</x:v>
      </x:c>
      <x:c r="B15" s="23" t="str">
        <x:v>Value</x:v>
      </x:c>
      <x:c r="C15" s="79"/>
      <x:c r="D15" s="79"/>
      <x:c r="E15" s="79"/>
      <x:c r="F15" s="79"/>
      <x:c r="G15" s="79"/>
      <x:c r="H15" s="79"/>
      <x:c r="I15" s="79"/>
      <x:c r="J15" s="79"/>
      <x:c r="K15" s="79"/>
      <x:c r="L15" s="79"/>
      <x:c r="M15" s="79"/>
      <x:c r="N15" s="79"/>
    </x:row>
    <x:row r="16" ht="15" hidden="0" customHeight="1">
      <x:c r="A16" s="26" t="str">
        <x:v>Pipeline</x:v>
      </x:c>
      <x:c r="B16" s="26" t="str">
        <x:v>SimpleImputer(median, add_indicator, keep_empty_features) -&gt; StandardScaler -&gt; LogisticRegression</x:v>
      </x:c>
      <x:c r="C16" s="79"/>
      <x:c r="D16" s="79"/>
      <x:c r="E16" s="79"/>
      <x:c r="F16" s="79"/>
      <x:c r="G16" s="79"/>
      <x:c r="H16" s="79"/>
      <x:c r="I16" s="79"/>
      <x:c r="J16" s="79"/>
      <x:c r="K16" s="79"/>
      <x:c r="L16" s="79"/>
      <x:c r="M16" s="79"/>
      <x:c r="N16" s="79"/>
    </x:row>
    <x:row r="17" ht="15" hidden="0" customHeight="1">
      <x:c r="A17" s="27" t="str">
        <x:v>C</x:v>
      </x:c>
      <x:c r="B17" s="27" t="n">
        <x:v>1</x:v>
      </x:c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  <x:c r="N17" s="79"/>
    </x:row>
    <x:row r="18" ht="15" hidden="0" customHeight="1">
      <x:c r="A18" s="27" t="str">
        <x:v>Class weight</x:v>
      </x:c>
      <x:c r="B18" s="27" t="str">
        <x:v>balanced</x:v>
      </x:c>
      <x:c r="C18" s="79"/>
      <x:c r="D18" s="79"/>
      <x:c r="E18" s="79"/>
      <x:c r="F18" s="79"/>
      <x:c r="G18" s="79"/>
      <x:c r="H18" s="79"/>
      <x:c r="I18" s="79"/>
      <x:c r="J18" s="79"/>
      <x:c r="K18" s="79"/>
      <x:c r="L18" s="79"/>
      <x:c r="M18" s="79"/>
      <x:c r="N18" s="79"/>
    </x:row>
    <x:row r="19" ht="15" hidden="0" customHeight="1">
      <x:c r="A19" s="27" t="str">
        <x:v>Solver / iterations</x:v>
      </x:c>
      <x:c r="B19" s="27" t="str">
        <x:v>lbfgs / 2000</x:v>
      </x:c>
      <x:c r="C19" s="79"/>
      <x:c r="D19" s="79"/>
      <x:c r="E19" s="79"/>
      <x:c r="F19" s="79"/>
      <x:c r="G19" s="79"/>
      <x:c r="H19" s="79"/>
      <x:c r="I19" s="79"/>
      <x:c r="J19" s="79"/>
      <x:c r="K19" s="79"/>
      <x:c r="L19" s="79"/>
      <x:c r="M19" s="79"/>
      <x:c r="N19" s="79"/>
    </x:row>
    <x:row r="20" ht="15" hidden="0" customHeight="1">
      <x:c r="A20" s="27" t="str">
        <x:v>Training period</x:v>
      </x:c>
      <x:c r="B20" s="27" t="str">
        <x:v>2015-2020</x:v>
      </x:c>
      <x:c r="C20" s="79"/>
      <x:c r="D20" s="79"/>
      <x:c r="E20" s="79"/>
      <x:c r="F20" s="79"/>
      <x:c r="G20" s="79"/>
      <x:c r="H20" s="79"/>
      <x:c r="I20" s="79"/>
      <x:c r="J20" s="79"/>
      <x:c r="K20" s="79"/>
      <x:c r="L20" s="79"/>
      <x:c r="M20" s="79"/>
      <x:c r="N20" s="79"/>
    </x:row>
    <x:row r="21" ht="15" hidden="0" customHeight="1">
      <x:c r="A21" s="28" t="str">
        <x:v>Validation period</x:v>
      </x:c>
      <x:c r="B21" s="28" t="str">
        <x:v>2021-2022</x:v>
      </x:c>
      <x:c r="C21" s="79"/>
      <x:c r="D21" s="79"/>
      <x:c r="E21" s="79"/>
      <x:c r="F21" s="79"/>
      <x:c r="G21" s="79"/>
      <x:c r="H21" s="79"/>
      <x:c r="I21" s="79"/>
      <x:c r="J21" s="79"/>
      <x:c r="K21" s="79"/>
      <x:c r="L21" s="79"/>
      <x:c r="M21" s="79"/>
      <x:c r="N21" s="79"/>
    </x:row>
    <x:row r="22" ht="15" hidden="0" customHeight="1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79"/>
      <x:c r="M22" s="79"/>
      <x:c r="N22" s="79"/>
    </x:row>
    <x:row r="23" ht="15" hidden="0" customHeight="1">
      <x:c r="A23" s="93" t="str">
        <x:v>Interpretation after timing-versus-selection audit</x:v>
      </x:c>
      <x:c r="B23" s="94"/>
      <x:c r="C23" s="94"/>
      <x:c r="D23" s="94"/>
      <x:c r="E23" s="94"/>
      <x:c r="F23" s="94"/>
      <x:c r="G23" s="79"/>
      <x:c r="H23" s="79"/>
      <x:c r="I23" s="79"/>
      <x:c r="J23" s="79"/>
      <x:c r="K23" s="79"/>
      <x:c r="L23" s="79"/>
      <x:c r="M23" s="79"/>
      <x:c r="N23" s="79"/>
    </x:row>
    <x:row r="24" ht="24" hidden="0" customHeight="1">
      <x:c r="A24" s="95" t="str">
        <x:v>Meaning</x:v>
      </x:c>
      <x:c r="B24" s="96" t="str">
        <x:v>0.5616 is pooled classification AUC: it mixes common date-level state/timing and stock selection; it is not a portfolio return.</x:v>
      </x:c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</x:row>
    <x:row r="25" ht="24" hidden="0" customHeight="1">
      <x:c r="A25" s="95" t="str">
        <x:v>Block inference</x:v>
      </x:c>
      <x:c r="B25" s="96" t="str">
        <x:v>The macro-minus-technical pooled AUC lift is 0.0221; its 21-session block-bootstrap 95% CI is -0.0394 to +0.0704.</x:v>
      </x:c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</x:row>
    <x:row r="26" ht="24" hidden="0" customHeight="1">
      <x:c r="A26" s="95" t="str">
        <x:v>Stock selection</x:v>
      </x:c>
      <x:c r="B26" s="96" t="str">
        <x:v>Same-date pair-weighted AUC lift is 0.0062 with CI -0.0066 to +0.0218: no verified cross-sectional improvement.</x:v>
      </x:c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</x:row>
    <x:row r="27" ht="15" hidden="0" customHeight="1">
      <x:c r="A27" s="95" t="str">
        <x:v>Test protection</x:v>
      </x:c>
      <x:c r="B27" s="96" t="str">
        <x:v>Development evidence only; 2023-2026 test labels remain unopened.</x:v>
      </x:c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</x:row>
    <x:row r="28" ht="15" hidden="0" customHeight="1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</x:row>
    <x:row r="29" ht="15" hidden="0" customHeight="1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</x:row>
    <x:row r="30" ht="15" hidden="0" customHeight="1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</x:row>
  </x:sheetData>
  <x:pageMargins left="0.7" right="0.7" top="0.75" bottom="0.75" header="0.3" footer="0.3"/>
  <x:drawing xmlns:r="http://schemas.openxmlformats.org/officeDocument/2006/relationships" r:id="Rae906e0b3c35470a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27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23" hidden="0" customWidth="1"/>
    <x:col min="9" max="9" width="14" hidden="0" customWidth="1"/>
    <x:col min="10" max="10" width="14" hidden="0" customWidth="1"/>
    <x:col min="11" max="11" width="26" hidden="0" customWidth="1"/>
    <x:col min="12" max="12" width="26" hidden="0" customWidth="1"/>
    <x:col min="13" max="13" width="38" hidden="0" customWidth="1"/>
    <x:col min="14" max="14" width="44" hidden="0" customWidth="1"/>
    <x:col min="15" max="15" width="55" hidden="0" customWidth="1"/>
  </x:cols>
  <x:sheetData>
    <x:row r="2" ht="18" hidden="0" customHeight="1">
      <x:c r="A2" s="80" t="str">
        <x:v>Registered AI Supply-Chain Company Universe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</x:row>
    <x:row r="3" ht="15" hidden="0" customHeight="1">
      <x:c r="A3" s="82" t="str">
        <x:v>BMF5360 | validation-only baseline package | test period remains sealed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</x:row>
    <x:row r="4" ht="15" hidden="0" customHeight="1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</x:row>
    <x:row r="5" ht="24" hidden="0" customHeight="1">
      <x:c r="A5" s="22" t="str">
        <x:v>RIC</x:v>
      </x:c>
      <x:c r="B5" s="47" t="str">
        <x:v>Company</x:v>
      </x:c>
      <x:c r="C5" s="47" t="str">
        <x:v>Primary group</x:v>
      </x:c>
      <x:c r="D5" s="47" t="str">
        <x:v>Inclusion reason</x:v>
      </x:c>
      <x:c r="E5" s="47" t="str">
        <x:v>Member from</x:v>
      </x:c>
      <x:c r="F5" s="47" t="str">
        <x:v>Member to</x:v>
      </x:c>
      <x:c r="G5" s="47" t="str">
        <x:v>Delisted RIC</x:v>
      </x:c>
      <x:c r="H5" s="47" t="str">
        <x:v>PIT evidence</x:v>
      </x:c>
      <x:c r="I5" s="47" t="str">
        <x:v>PIT eligible</x:v>
      </x:c>
      <x:c r="J5" s="47" t="str">
        <x:v>Local evidence rows</x:v>
      </x:c>
      <x:c r="K5" s="47" t="str">
        <x:v>Source type</x:v>
      </x:c>
      <x:c r="L5" s="47" t="str">
        <x:v>Source title</x:v>
      </x:c>
      <x:c r="M5" s="47" t="str">
        <x:v>Source URL</x:v>
      </x:c>
      <x:c r="N5" s="47" t="str">
        <x:v>Reason code</x:v>
      </x:c>
      <x:c r="O5" s="23" t="str">
        <x:v>PIT limitation</x:v>
      </x:c>
    </x:row>
    <x:row r="6" ht="36" hidden="0" customHeight="1">
      <x:c r="A6" s="57" t="str">
        <x:v>NVDA.OQ</x:v>
      </x:c>
      <x:c r="B6" s="26" t="str">
        <x:v>NVIDIA Corporation</x:v>
      </x:c>
      <x:c r="C6" s="26" t="str">
        <x:v>gpu_accelerator</x:v>
      </x:c>
      <x:c r="D6" s="54" t="str">
        <x:v>GPU and accelerated data-center computing platform supplier.</x:v>
      </x:c>
      <x:c r="E6" s="26" t="str">
        <x:v>2015-01-01</x:v>
      </x:c>
      <x:c r="F6" s="26" t="str">
        <x:v>2026-09-07</x:v>
      </x:c>
      <x:c r="G6" s="51" t="b">
        <x:v>0</x:v>
      </x:c>
      <x:c r="H6" s="26" t="str">
        <x:v>direct_local_pit</x:v>
      </x:c>
      <x:c r="I6" s="51" t="b">
        <x:v>1</x:v>
      </x:c>
      <x:c r="J6" s="26" t="n">
        <x:v>16</x:v>
      </x:c>
      <x:c r="K6" s="26" t="str">
        <x:v>official_issuer_description</x:v>
      </x:c>
      <x:c r="L6" s="26" t="str">
        <x:v>NVIDIA About NVIDIA</x:v>
      </x:c>
      <x:c r="M6" s="26" t="str">
        <x:v>https://www.nvidia.com/en-us/about-nvidia/</x:v>
      </x:c>
      <x:c r="N6" s="26" t="str">
        <x:v>SUPPLY_CHAIN_ROLE_SELECTED_NO_RETURN_SCREEN</x:v>
      </x:c>
      <x:c r="O6" s="54" t="str">
        <x:v>Local Orig segment keyword match joins an Orig announcement date; day-level date only and raw segment taxonomy coverage is limited to this LSEG run.</x:v>
      </x:c>
    </x:row>
    <x:row r="7" ht="24" hidden="0" customHeight="1">
      <x:c r="A7" s="58" t="str">
        <x:v>AMD.OQ</x:v>
      </x:c>
      <x:c r="B7" s="27" t="str">
        <x:v>Advanced Micro Devices, Inc.</x:v>
      </x:c>
      <x:c r="C7" s="27" t="str">
        <x:v>gpu_accelerator</x:v>
      </x:c>
      <x:c r="D7" s="55" t="str">
        <x:v>CPU/GPU and adaptive-computing supplier with data-center accelerators.</x:v>
      </x:c>
      <x:c r="E7" s="27" t="str">
        <x:v>2017-03-20</x:v>
      </x:c>
      <x:c r="F7" s="27" t="str">
        <x:v>2026-09-07</x:v>
      </x:c>
      <x:c r="G7" s="52" t="b">
        <x:v>0</x:v>
      </x:c>
      <x:c r="H7" s="27" t="str">
        <x:v>provisional_static_source</x:v>
      </x:c>
      <x:c r="I7" s="52" t="b">
        <x:v>0</x:v>
      </x:c>
      <x:c r="J7" s="27" t="n">
        <x:v>0</x:v>
      </x:c>
      <x:c r="K7" s="27" t="str">
        <x:v>official_issuer_description</x:v>
      </x:c>
      <x:c r="L7" s="27" t="str">
        <x:v>AMD Corporate Information</x:v>
      </x:c>
      <x:c r="M7" s="27" t="str">
        <x:v>https://www.amd.com/en/corporate.html</x:v>
      </x:c>
      <x:c r="N7" s="27" t="str">
        <x:v>SUPPLY_CHAIN_ROLE_SELECTED_NO_RETURN_SCREEN</x:v>
      </x:c>
      <x:c r="O7" s="55" t="str">
        <x:v>Issuer description is a current/reference snapshot and was not downloaded or hashed in this run; it cannot backfill historical membership.</x:v>
      </x:c>
    </x:row>
    <x:row r="8" ht="24" hidden="0" customHeight="1">
      <x:c r="A8" s="58" t="str">
        <x:v>AVGO.OQ</x:v>
      </x:c>
      <x:c r="B8" s="27" t="str">
        <x:v>Broadcom Inc.</x:v>
      </x:c>
      <x:c r="C8" s="27" t="str">
        <x:v>gpu_accelerator</x:v>
      </x:c>
      <x:c r="D8" s="55" t="str">
        <x:v>Custom accelerator, switching and data-center connectivity silicon supplier.</x:v>
      </x:c>
      <x:c r="E8" s="27" t="str">
        <x:v>2015-01-01</x:v>
      </x:c>
      <x:c r="F8" s="27" t="str">
        <x:v>2026-09-07</x:v>
      </x:c>
      <x:c r="G8" s="52" t="b">
        <x:v>0</x:v>
      </x:c>
      <x:c r="H8" s="27" t="str">
        <x:v>provisional_static_source</x:v>
      </x:c>
      <x:c r="I8" s="52" t="b">
        <x:v>0</x:v>
      </x:c>
      <x:c r="J8" s="27" t="n">
        <x:v>0</x:v>
      </x:c>
      <x:c r="K8" s="27" t="str">
        <x:v>official_issuer_description</x:v>
      </x:c>
      <x:c r="L8" s="27" t="str">
        <x:v>Broadcom Investor Overview</x:v>
      </x:c>
      <x:c r="M8" s="27" t="str">
        <x:v>https://investors.broadcom.com/overview/default.aspx</x:v>
      </x:c>
      <x:c r="N8" s="27" t="str">
        <x:v>SUPPLY_CHAIN_ROLE_SELECTED_NO_RETURN_SCREEN</x:v>
      </x:c>
      <x:c r="O8" s="55" t="str">
        <x:v>Issuer description is a current/reference snapshot and was not downloaded or hashed in this run; it cannot backfill historical membership.</x:v>
      </x:c>
    </x:row>
    <x:row r="9" ht="36" hidden="0" customHeight="1">
      <x:c r="A9" s="58" t="str">
        <x:v>INTC.OQ</x:v>
      </x:c>
      <x:c r="B9" s="27" t="str">
        <x:v>Intel Corporation</x:v>
      </x:c>
      <x:c r="C9" s="27" t="str">
        <x:v>gpu_accelerator</x:v>
      </x:c>
      <x:c r="D9" s="55" t="str">
        <x:v>Data-center CPU/accelerator and foundry supplier.</x:v>
      </x:c>
      <x:c r="E9" s="27" t="str">
        <x:v>2015-01-01</x:v>
      </x:c>
      <x:c r="F9" s="27" t="str">
        <x:v>2026-09-07</x:v>
      </x:c>
      <x:c r="G9" s="52" t="b">
        <x:v>0</x:v>
      </x:c>
      <x:c r="H9" s="27" t="str">
        <x:v>direct_local_pit</x:v>
      </x:c>
      <x:c r="I9" s="52" t="b">
        <x:v>1</x:v>
      </x:c>
      <x:c r="J9" s="27" t="n">
        <x:v>37</x:v>
      </x:c>
      <x:c r="K9" s="27" t="str">
        <x:v>official_issuer_description</x:v>
      </x:c>
      <x:c r="L9" s="27" t="str">
        <x:v>Intel Company Overview</x:v>
      </x:c>
      <x:c r="M9" s="27" t="str">
        <x:v>https://www.intel.com/content/www/us/en/company-overview/company-overview.html</x:v>
      </x:c>
      <x:c r="N9" s="27" t="str">
        <x:v>SUPPLY_CHAIN_ROLE_SELECTED_NO_RETURN_SCREEN</x:v>
      </x:c>
      <x:c r="O9" s="55" t="str">
        <x:v>Local Orig segment keyword match joins an Orig announcement date; day-level date only and raw segment taxonomy coverage is limited to this LSEG run.</x:v>
      </x:c>
    </x:row>
    <x:row r="10" ht="24" hidden="0" customHeight="1">
      <x:c r="A10" s="58" t="str">
        <x:v>MRVL.OQ</x:v>
      </x:c>
      <x:c r="B10" s="27" t="str">
        <x:v>Marvell Technology, Inc.</x:v>
      </x:c>
      <x:c r="C10" s="27" t="str">
        <x:v>gpu_accelerator</x:v>
      </x:c>
      <x:c r="D10" s="55" t="str">
        <x:v>Data infrastructure, custom compute and networking silicon supplier.</x:v>
      </x:c>
      <x:c r="E10" s="27" t="str">
        <x:v>2026-06-22</x:v>
      </x:c>
      <x:c r="F10" s="27" t="str">
        <x:v>2026-09-07</x:v>
      </x:c>
      <x:c r="G10" s="52" t="b">
        <x:v>0</x:v>
      </x:c>
      <x:c r="H10" s="27" t="str">
        <x:v>provisional_static_source</x:v>
      </x:c>
      <x:c r="I10" s="52" t="b">
        <x:v>0</x:v>
      </x:c>
      <x:c r="J10" s="27" t="n">
        <x:v>0</x:v>
      </x:c>
      <x:c r="K10" s="27" t="str">
        <x:v>official_issuer_description</x:v>
      </x:c>
      <x:c r="L10" s="27" t="str">
        <x:v>Marvell Company</x:v>
      </x:c>
      <x:c r="M10" s="27" t="str">
        <x:v>https://www.marvell.com/company.html</x:v>
      </x:c>
      <x:c r="N10" s="27" t="str">
        <x:v>SUPPLY_CHAIN_ROLE_SELECTED_NO_RETURN_SCREEN</x:v>
      </x:c>
      <x:c r="O10" s="55" t="str">
        <x:v>Issuer description is a current/reference snapshot and was not downloaded or hashed in this run; it cannot backfill historical membership.</x:v>
      </x:c>
    </x:row>
    <x:row r="11" ht="24" hidden="0" customHeight="1">
      <x:c r="A11" s="58" t="str">
        <x:v>QCOM.OQ</x:v>
      </x:c>
      <x:c r="B11" s="27" t="str">
        <x:v>QUALCOMM Incorporated</x:v>
      </x:c>
      <x:c r="C11" s="27" t="str">
        <x:v>ai_semiconductor</x:v>
      </x:c>
      <x:c r="D11" s="55" t="str">
        <x:v>AI-capable mobile/edge compute and connectivity silicon supplier.</x:v>
      </x:c>
      <x:c r="E11" s="27" t="str">
        <x:v>2015-01-01</x:v>
      </x:c>
      <x:c r="F11" s="27" t="str">
        <x:v>2026-09-07</x:v>
      </x:c>
      <x:c r="G11" s="52" t="b">
        <x:v>0</x:v>
      </x:c>
      <x:c r="H11" s="27" t="str">
        <x:v>provisional_static_source</x:v>
      </x:c>
      <x:c r="I11" s="52" t="b">
        <x:v>0</x:v>
      </x:c>
      <x:c r="J11" s="27" t="n">
        <x:v>0</x:v>
      </x:c>
      <x:c r="K11" s="27" t="str">
        <x:v>official_issuer_description</x:v>
      </x:c>
      <x:c r="L11" s="27" t="str">
        <x:v>Qualcomm Company</x:v>
      </x:c>
      <x:c r="M11" s="27" t="str">
        <x:v>https://www.qualcomm.com/company</x:v>
      </x:c>
      <x:c r="N11" s="27" t="str">
        <x:v>SUPPLY_CHAIN_ROLE_SELECTED_NO_RETURN_SCREEN</x:v>
      </x:c>
      <x:c r="O11" s="55" t="str">
        <x:v>Issuer description is a current/reference snapshot and was not downloaded or hashed in this run; it cannot backfill historical membership.</x:v>
      </x:c>
    </x:row>
    <x:row r="12" ht="24" hidden="0" customHeight="1">
      <x:c r="A12" s="58" t="str">
        <x:v>TXN.OQ</x:v>
      </x:c>
      <x:c r="B12" s="27" t="str">
        <x:v>Texas Instruments Incorporated</x:v>
      </x:c>
      <x:c r="C12" s="27" t="str">
        <x:v>ai_semiconductor</x:v>
      </x:c>
      <x:c r="D12" s="55" t="str">
        <x:v>Analog, embedded and power semiconductor supplier used in edge and industrial compute.</x:v>
      </x:c>
      <x:c r="E12" s="27" t="str">
        <x:v>2015-01-01</x:v>
      </x:c>
      <x:c r="F12" s="27" t="str">
        <x:v>2026-09-07</x:v>
      </x:c>
      <x:c r="G12" s="52" t="b">
        <x:v>0</x:v>
      </x:c>
      <x:c r="H12" s="27" t="str">
        <x:v>provisional_static_source</x:v>
      </x:c>
      <x:c r="I12" s="52" t="b">
        <x:v>0</x:v>
      </x:c>
      <x:c r="J12" s="27" t="n">
        <x:v>0</x:v>
      </x:c>
      <x:c r="K12" s="27" t="str">
        <x:v>official_issuer_description</x:v>
      </x:c>
      <x:c r="L12" s="27" t="str">
        <x:v>Texas Instruments Company Profile</x:v>
      </x:c>
      <x:c r="M12" s="27" t="str">
        <x:v>https://www.ti.com/about-ti/company-profile.html</x:v>
      </x:c>
      <x:c r="N12" s="27" t="str">
        <x:v>SUPPLY_CHAIN_ROLE_SELECTED_NO_RETURN_SCREEN</x:v>
      </x:c>
      <x:c r="O12" s="55" t="str">
        <x:v>Issuer description is a current/reference snapshot and was not downloaded or hashed in this run; it cannot backfill historical membership.</x:v>
      </x:c>
    </x:row>
    <x:row r="13" ht="24" hidden="0" customHeight="1">
      <x:c r="A13" s="58" t="str">
        <x:v>ADI.OQ</x:v>
      </x:c>
      <x:c r="B13" s="27" t="str">
        <x:v>Analog Devices, Inc.</x:v>
      </x:c>
      <x:c r="C13" s="27" t="str">
        <x:v>ai_semiconductor</x:v>
      </x:c>
      <x:c r="D13" s="55" t="str">
        <x:v>Analog, mixed-signal and edge-compute semiconductor supplier.</x:v>
      </x:c>
      <x:c r="E13" s="27" t="str">
        <x:v>2015-01-01</x:v>
      </x:c>
      <x:c r="F13" s="27" t="str">
        <x:v>2026-09-07</x:v>
      </x:c>
      <x:c r="G13" s="52" t="b">
        <x:v>0</x:v>
      </x:c>
      <x:c r="H13" s="27" t="str">
        <x:v>provisional_static_source</x:v>
      </x:c>
      <x:c r="I13" s="52" t="b">
        <x:v>0</x:v>
      </x:c>
      <x:c r="J13" s="27" t="n">
        <x:v>0</x:v>
      </x:c>
      <x:c r="K13" s="27" t="str">
        <x:v>official_issuer_description</x:v>
      </x:c>
      <x:c r="L13" s="27" t="str">
        <x:v>Analog Devices About ADI</x:v>
      </x:c>
      <x:c r="M13" s="27" t="str">
        <x:v>https://www.analog.com/en/about-adi.html</x:v>
      </x:c>
      <x:c r="N13" s="27" t="str">
        <x:v>SUPPLY_CHAIN_ROLE_SELECTED_NO_RETURN_SCREEN</x:v>
      </x:c>
      <x:c r="O13" s="55" t="str">
        <x:v>Issuer description is a current/reference snapshot and was not downloaded or hashed in this run; it cannot backfill historical membership.</x:v>
      </x:c>
    </x:row>
    <x:row r="14" ht="24" hidden="0" customHeight="1">
      <x:c r="A14" s="58" t="str">
        <x:v>NXPI.OQ</x:v>
      </x:c>
      <x:c r="B14" s="27" t="str">
        <x:v>NXP Semiconductors N.V.</x:v>
      </x:c>
      <x:c r="C14" s="27" t="str">
        <x:v>ai_semiconductor</x:v>
      </x:c>
      <x:c r="D14" s="55" t="str">
        <x:v>Automotive/industrial edge processing and connectivity semiconductor supplier.</x:v>
      </x:c>
      <x:c r="E14" s="27" t="str">
        <x:v>2021-03-22</x:v>
      </x:c>
      <x:c r="F14" s="27" t="str">
        <x:v>2026-09-07</x:v>
      </x:c>
      <x:c r="G14" s="52" t="b">
        <x:v>0</x:v>
      </x:c>
      <x:c r="H14" s="27" t="str">
        <x:v>provisional_static_source</x:v>
      </x:c>
      <x:c r="I14" s="52" t="b">
        <x:v>0</x:v>
      </x:c>
      <x:c r="J14" s="27" t="n">
        <x:v>0</x:v>
      </x:c>
      <x:c r="K14" s="27" t="str">
        <x:v>official_issuer_description</x:v>
      </x:c>
      <x:c r="L14" s="27" t="str">
        <x:v>NXP About NXP</x:v>
      </x:c>
      <x:c r="M14" s="27" t="str">
        <x:v>https://www.nxp.com/company/about-nxp</x:v>
      </x:c>
      <x:c r="N14" s="27" t="str">
        <x:v>SUPPLY_CHAIN_ROLE_SELECTED_NO_RETURN_SCREEN</x:v>
      </x:c>
      <x:c r="O14" s="55" t="str">
        <x:v>Issuer description is a current/reference snapshot and was not downloaded or hashed in this run; it cannot backfill historical membership.</x:v>
      </x:c>
    </x:row>
    <x:row r="15" ht="24" hidden="0" customHeight="1">
      <x:c r="A15" s="58" t="str">
        <x:v>ON.OQ</x:v>
      </x:c>
      <x:c r="B15" s="27" t="str">
        <x:v>onsemi</x:v>
      </x:c>
      <x:c r="C15" s="27" t="str">
        <x:v>ai_semiconductor</x:v>
      </x:c>
      <x:c r="D15" s="55" t="str">
        <x:v>Intelligent power and sensing semiconductor supplier for edge and data-center systems.</x:v>
      </x:c>
      <x:c r="E15" s="27" t="str">
        <x:v>2022-06-21</x:v>
      </x:c>
      <x:c r="F15" s="27" t="str">
        <x:v>2026-09-07</x:v>
      </x:c>
      <x:c r="G15" s="52" t="b">
        <x:v>0</x:v>
      </x:c>
      <x:c r="H15" s="27" t="str">
        <x:v>provisional_static_source</x:v>
      </x:c>
      <x:c r="I15" s="52" t="b">
        <x:v>0</x:v>
      </x:c>
      <x:c r="J15" s="27" t="n">
        <x:v>0</x:v>
      </x:c>
      <x:c r="K15" s="27" t="str">
        <x:v>official_issuer_description</x:v>
      </x:c>
      <x:c r="L15" s="27" t="str">
        <x:v>onsemi About Us</x:v>
      </x:c>
      <x:c r="M15" s="27" t="str">
        <x:v>https://www.onsemi.com/company/about-us</x:v>
      </x:c>
      <x:c r="N15" s="27" t="str">
        <x:v>SUPPLY_CHAIN_ROLE_SELECTED_NO_RETURN_SCREEN</x:v>
      </x:c>
      <x:c r="O15" s="55" t="str">
        <x:v>Issuer description is a current/reference snapshot and was not downloaded or hashed in this run; it cannot backfill historical membership.</x:v>
      </x:c>
    </x:row>
    <x:row r="16" ht="24" hidden="0" customHeight="1">
      <x:c r="A16" s="58" t="str">
        <x:v>MPWR.OQ</x:v>
      </x:c>
      <x:c r="B16" s="27" t="str">
        <x:v>Monolithic Power Systems, Inc.</x:v>
      </x:c>
      <x:c r="C16" s="27" t="str">
        <x:v>ai_semiconductor</x:v>
      </x:c>
      <x:c r="D16" s="55" t="str">
        <x:v>Power-management semiconductor supplier for computing and data-center systems.</x:v>
      </x:c>
      <x:c r="E16" s="27" t="str">
        <x:v>2021-02-12</x:v>
      </x:c>
      <x:c r="F16" s="27" t="str">
        <x:v>2026-09-07</x:v>
      </x:c>
      <x:c r="G16" s="52" t="b">
        <x:v>0</x:v>
      </x:c>
      <x:c r="H16" s="27" t="str">
        <x:v>provisional_static_source</x:v>
      </x:c>
      <x:c r="I16" s="52" t="b">
        <x:v>0</x:v>
      </x:c>
      <x:c r="J16" s="27" t="n">
        <x:v>0</x:v>
      </x:c>
      <x:c r="K16" s="27" t="str">
        <x:v>official_issuer_description</x:v>
      </x:c>
      <x:c r="L16" s="27" t="str">
        <x:v>MPS About MPS</x:v>
      </x:c>
      <x:c r="M16" s="27" t="str">
        <x:v>https://www.monolithicpower.com/en/about-mps</x:v>
      </x:c>
      <x:c r="N16" s="27" t="str">
        <x:v>SUPPLY_CHAIN_ROLE_SELECTED_NO_RETURN_SCREEN</x:v>
      </x:c>
      <x:c r="O16" s="55" t="str">
        <x:v>Issuer description is a current/reference snapshot and was not downloaded or hashed in this run; it cannot backfill historical membership.</x:v>
      </x:c>
    </x:row>
    <x:row r="17" ht="36" hidden="0" customHeight="1">
      <x:c r="A17" s="58" t="str">
        <x:v>MU.OQ</x:v>
      </x:c>
      <x:c r="B17" s="27" t="str">
        <x:v>Micron Technology, Inc.</x:v>
      </x:c>
      <x:c r="C17" s="27" t="str">
        <x:v>memory_hbm_storage</x:v>
      </x:c>
      <x:c r="D17" s="55" t="str">
        <x:v>DRAM/HBM and data-center memory supplier.</x:v>
      </x:c>
      <x:c r="E17" s="27" t="str">
        <x:v>2015-01-01</x:v>
      </x:c>
      <x:c r="F17" s="27" t="str">
        <x:v>2026-09-07</x:v>
      </x:c>
      <x:c r="G17" s="52" t="b">
        <x:v>0</x:v>
      </x:c>
      <x:c r="H17" s="27" t="str">
        <x:v>direct_local_pit</x:v>
      </x:c>
      <x:c r="I17" s="52" t="b">
        <x:v>1</x:v>
      </x:c>
      <x:c r="J17" s="27" t="n">
        <x:v>2</x:v>
      </x:c>
      <x:c r="K17" s="27" t="str">
        <x:v>official_issuer_description</x:v>
      </x:c>
      <x:c r="L17" s="27" t="str">
        <x:v>Micron About</x:v>
      </x:c>
      <x:c r="M17" s="27" t="str">
        <x:v>https://www.micron.com/about</x:v>
      </x:c>
      <x:c r="N17" s="27" t="str">
        <x:v>SUPPLY_CHAIN_ROLE_SELECTED_NO_RETURN_SCREEN</x:v>
      </x:c>
      <x:c r="O17" s="55" t="str">
        <x:v>Local Orig segment keyword match joins an Orig announcement date; day-level date only and raw segment taxonomy coverage is limited to this LSEG run.</x:v>
      </x:c>
    </x:row>
    <x:row r="18" ht="24" hidden="0" customHeight="1">
      <x:c r="A18" s="58" t="str">
        <x:v>WDC.OQ</x:v>
      </x:c>
      <x:c r="B18" s="27" t="str">
        <x:v>Western Digital Corporation</x:v>
      </x:c>
      <x:c r="C18" s="27" t="str">
        <x:v>memory_hbm_storage</x:v>
      </x:c>
      <x:c r="D18" s="55" t="str">
        <x:v>Enterprise HDD/flash and data-storage supplier for large-scale compute.</x:v>
      </x:c>
      <x:c r="E18" s="27" t="str">
        <x:v>2015-01-01</x:v>
      </x:c>
      <x:c r="F18" s="27" t="str">
        <x:v>2026-09-07</x:v>
      </x:c>
      <x:c r="G18" s="52" t="b">
        <x:v>0</x:v>
      </x:c>
      <x:c r="H18" s="27" t="str">
        <x:v>provisional_static_source</x:v>
      </x:c>
      <x:c r="I18" s="52" t="b">
        <x:v>0</x:v>
      </x:c>
      <x:c r="J18" s="27" t="n">
        <x:v>0</x:v>
      </x:c>
      <x:c r="K18" s="27" t="str">
        <x:v>official_issuer_description</x:v>
      </x:c>
      <x:c r="L18" s="27" t="str">
        <x:v>Western Digital Company</x:v>
      </x:c>
      <x:c r="M18" s="27" t="str">
        <x:v>https://www.westerndigital.com/company</x:v>
      </x:c>
      <x:c r="N18" s="27" t="str">
        <x:v>SUPPLY_CHAIN_ROLE_SELECTED_NO_RETURN_SCREEN</x:v>
      </x:c>
      <x:c r="O18" s="55" t="str">
        <x:v>Issuer description is a current/reference snapshot and was not downloaded or hashed in this run; it cannot backfill historical membership.</x:v>
      </x:c>
    </x:row>
    <x:row r="19" ht="24" hidden="0" customHeight="1">
      <x:c r="A19" s="58" t="str">
        <x:v>STX.OQ</x:v>
      </x:c>
      <x:c r="B19" s="27" t="str">
        <x:v>Seagate Technology Holdings plc</x:v>
      </x:c>
      <x:c r="C19" s="27" t="str">
        <x:v>memory_hbm_storage</x:v>
      </x:c>
      <x:c r="D19" s="55" t="str">
        <x:v>Mass-capacity enterprise storage supplier used by data centers.</x:v>
      </x:c>
      <x:c r="E19" s="27" t="str">
        <x:v>2015-01-01</x:v>
      </x:c>
      <x:c r="F19" s="27" t="str">
        <x:v>2026-09-07</x:v>
      </x:c>
      <x:c r="G19" s="52" t="b">
        <x:v>0</x:v>
      </x:c>
      <x:c r="H19" s="27" t="str">
        <x:v>provisional_static_source</x:v>
      </x:c>
      <x:c r="I19" s="52" t="b">
        <x:v>0</x:v>
      </x:c>
      <x:c r="J19" s="27" t="n">
        <x:v>0</x:v>
      </x:c>
      <x:c r="K19" s="27" t="str">
        <x:v>official_issuer_description</x:v>
      </x:c>
      <x:c r="L19" s="27" t="str">
        <x:v>Seagate About Us</x:v>
      </x:c>
      <x:c r="M19" s="27" t="str">
        <x:v>https://www.seagate.com/company/about-us/</x:v>
      </x:c>
      <x:c r="N19" s="27" t="str">
        <x:v>SUPPLY_CHAIN_ROLE_SELECTED_NO_RETURN_SCREEN</x:v>
      </x:c>
      <x:c r="O19" s="55" t="str">
        <x:v>Issuer description is a current/reference snapshot and was not downloaded or hashed in this run; it cannot backfill historical membership.</x:v>
      </x:c>
    </x:row>
    <x:row r="20" ht="24" hidden="0" customHeight="1">
      <x:c r="A20" s="58" t="str">
        <x:v>SNDK.OQ</x:v>
      </x:c>
      <x:c r="B20" s="27" t="str">
        <x:v>SanDisk Corporation</x:v>
      </x:c>
      <x:c r="C20" s="27" t="str">
        <x:v>memory_hbm_storage</x:v>
      </x:c>
      <x:c r="D20" s="55" t="str">
        <x:v>Flash/NAND and enterprise storage supplier.</x:v>
      </x:c>
      <x:c r="E20" s="27" t="str">
        <x:v>2025-02-24</x:v>
      </x:c>
      <x:c r="F20" s="27" t="str">
        <x:v>2026-09-07</x:v>
      </x:c>
      <x:c r="G20" s="52" t="b">
        <x:v>0</x:v>
      </x:c>
      <x:c r="H20" s="27" t="str">
        <x:v>provisional_static_source</x:v>
      </x:c>
      <x:c r="I20" s="52" t="b">
        <x:v>0</x:v>
      </x:c>
      <x:c r="J20" s="27" t="n">
        <x:v>0</x:v>
      </x:c>
      <x:c r="K20" s="27" t="str">
        <x:v>official_issuer_description</x:v>
      </x:c>
      <x:c r="L20" s="27" t="str">
        <x:v>SanDisk About</x:v>
      </x:c>
      <x:c r="M20" s="27" t="str">
        <x:v>https://www.sandisk.com/company/about</x:v>
      </x:c>
      <x:c r="N20" s="27" t="str">
        <x:v>SUPPLY_CHAIN_ROLE_SELECTED_NO_RETURN_SCREEN</x:v>
      </x:c>
      <x:c r="O20" s="55" t="str">
        <x:v>Issuer description is a current/reference snapshot and was not downloaded or hashed in this run; it cannot backfill historical membership.</x:v>
      </x:c>
    </x:row>
    <x:row r="21" ht="24" hidden="0" customHeight="1">
      <x:c r="A21" s="58" t="str">
        <x:v>NTAP.OQ</x:v>
      </x:c>
      <x:c r="B21" s="27" t="str">
        <x:v>NetApp, Inc.</x:v>
      </x:c>
      <x:c r="C21" s="27" t="str">
        <x:v>memory_hbm_storage</x:v>
      </x:c>
      <x:c r="D21" s="55" t="str">
        <x:v>Enterprise data-storage and hybrid-cloud infrastructure supplier.</x:v>
      </x:c>
      <x:c r="E21" s="27" t="str">
        <x:v>2015-01-01</x:v>
      </x:c>
      <x:c r="F21" s="27" t="str">
        <x:v>2026-09-07</x:v>
      </x:c>
      <x:c r="G21" s="52" t="b">
        <x:v>0</x:v>
      </x:c>
      <x:c r="H21" s="27" t="str">
        <x:v>provisional_static_source</x:v>
      </x:c>
      <x:c r="I21" s="52" t="b">
        <x:v>0</x:v>
      </x:c>
      <x:c r="J21" s="27" t="n">
        <x:v>0</x:v>
      </x:c>
      <x:c r="K21" s="27" t="str">
        <x:v>official_issuer_description</x:v>
      </x:c>
      <x:c r="L21" s="27" t="str">
        <x:v>NetApp Company</x:v>
      </x:c>
      <x:c r="M21" s="27" t="str">
        <x:v>https://www.netapp.com/company/</x:v>
      </x:c>
      <x:c r="N21" s="27" t="str">
        <x:v>SUPPLY_CHAIN_ROLE_SELECTED_NO_RETURN_SCREEN</x:v>
      </x:c>
      <x:c r="O21" s="55" t="str">
        <x:v>Issuer description is a current/reference snapshot and was not downloaded or hashed in this run; it cannot backfill historical membership.</x:v>
      </x:c>
    </x:row>
    <x:row r="22" ht="36" hidden="0" customHeight="1">
      <x:c r="A22" s="58" t="str">
        <x:v>HPE.N</x:v>
      </x:c>
      <x:c r="B22" s="27" t="str">
        <x:v>Hewlett Packard Enterprise Company</x:v>
      </x:c>
      <x:c r="C22" s="27" t="str">
        <x:v>server_network</x:v>
      </x:c>
      <x:c r="D22" s="55" t="str">
        <x:v>HPC and AI-server systems supplier.</x:v>
      </x:c>
      <x:c r="E22" s="27" t="str">
        <x:v>2015-11-02</x:v>
      </x:c>
      <x:c r="F22" s="27" t="str">
        <x:v>2026-09-07</x:v>
      </x:c>
      <x:c r="G22" s="52" t="b">
        <x:v>0</x:v>
      </x:c>
      <x:c r="H22" s="27" t="str">
        <x:v>direct_local_pit</x:v>
      </x:c>
      <x:c r="I22" s="52" t="b">
        <x:v>1</x:v>
      </x:c>
      <x:c r="J22" s="27" t="n">
        <x:v>12</x:v>
      </x:c>
      <x:c r="K22" s="27" t="str">
        <x:v>official_issuer_description</x:v>
      </x:c>
      <x:c r="L22" s="27" t="str">
        <x:v>HPE About</x:v>
      </x:c>
      <x:c r="M22" s="27" t="str">
        <x:v>https://www.hpe.com/us/en/about.html</x:v>
      </x:c>
      <x:c r="N22" s="27" t="str">
        <x:v>SUPPLY_CHAIN_ROLE_SELECTED_NO_RETURN_SCREEN</x:v>
      </x:c>
      <x:c r="O22" s="55" t="str">
        <x:v>Local Orig segment keyword match joins an Orig announcement date; day-level date only and raw segment taxonomy coverage is limited to this LSEG run.</x:v>
      </x:c>
    </x:row>
    <x:row r="23" ht="24" hidden="0" customHeight="1">
      <x:c r="A23" s="58" t="str">
        <x:v>DELL.N</x:v>
      </x:c>
      <x:c r="B23" s="27" t="str">
        <x:v>Dell Technologies Inc.</x:v>
      </x:c>
      <x:c r="C23" s="27" t="str">
        <x:v>server_network</x:v>
      </x:c>
      <x:c r="D23" s="55" t="str">
        <x:v>Enterprise server and AI infrastructure OEM.</x:v>
      </x:c>
      <x:c r="E23" s="27" t="str">
        <x:v>2016-09-07</x:v>
      </x:c>
      <x:c r="F23" s="27" t="str">
        <x:v>2026-09-07</x:v>
      </x:c>
      <x:c r="G23" s="52" t="b">
        <x:v>0</x:v>
      </x:c>
      <x:c r="H23" s="27" t="str">
        <x:v>provisional_static_source</x:v>
      </x:c>
      <x:c r="I23" s="52" t="b">
        <x:v>0</x:v>
      </x:c>
      <x:c r="J23" s="27" t="n">
        <x:v>0</x:v>
      </x:c>
      <x:c r="K23" s="27" t="str">
        <x:v>official_issuer_description</x:v>
      </x:c>
      <x:c r="L23" s="27" t="str">
        <x:v>Dell Technologies About Us</x:v>
      </x:c>
      <x:c r="M23" s="27" t="str">
        <x:v>https://www.dell.com/en-us/dt/corporate/about-us.htm</x:v>
      </x:c>
      <x:c r="N23" s="27" t="str">
        <x:v>SUPPLY_CHAIN_ROLE_SELECTED_NO_RETURN_SCREEN</x:v>
      </x:c>
      <x:c r="O23" s="55" t="str">
        <x:v>Issuer description is a current/reference snapshot and was not downloaded or hashed in this run; it cannot backfill historical membership.</x:v>
      </x:c>
    </x:row>
    <x:row r="24" ht="24" hidden="0" customHeight="1">
      <x:c r="A24" s="58" t="str">
        <x:v>ANET.N</x:v>
      </x:c>
      <x:c r="B24" s="27" t="str">
        <x:v>Arista Networks, Inc.</x:v>
      </x:c>
      <x:c r="C24" s="27" t="str">
        <x:v>server_network</x:v>
      </x:c>
      <x:c r="D24" s="55" t="str">
        <x:v>Cloud and data-center Ethernet switching/networking supplier.</x:v>
      </x:c>
      <x:c r="E24" s="27" t="str">
        <x:v>2018-08-28</x:v>
      </x:c>
      <x:c r="F24" s="27" t="str">
        <x:v>2026-09-07</x:v>
      </x:c>
      <x:c r="G24" s="52" t="b">
        <x:v>0</x:v>
      </x:c>
      <x:c r="H24" s="27" t="str">
        <x:v>provisional_static_source</x:v>
      </x:c>
      <x:c r="I24" s="52" t="b">
        <x:v>0</x:v>
      </x:c>
      <x:c r="J24" s="27" t="n">
        <x:v>0</x:v>
      </x:c>
      <x:c r="K24" s="27" t="str">
        <x:v>official_issuer_description</x:v>
      </x:c>
      <x:c r="L24" s="27" t="str">
        <x:v>Arista About Us</x:v>
      </x:c>
      <x:c r="M24" s="27" t="str">
        <x:v>https://www.arista.com/en/company/about-us</x:v>
      </x:c>
      <x:c r="N24" s="27" t="str">
        <x:v>SUPPLY_CHAIN_ROLE_SELECTED_NO_RETURN_SCREEN</x:v>
      </x:c>
      <x:c r="O24" s="55" t="str">
        <x:v>Issuer description is a current/reference snapshot and was not downloaded or hashed in this run; it cannot backfill historical membership.</x:v>
      </x:c>
    </x:row>
    <x:row r="25" ht="24" hidden="0" customHeight="1">
      <x:c r="A25" s="58" t="str">
        <x:v>CSCO.OQ</x:v>
      </x:c>
      <x:c r="B25" s="27" t="str">
        <x:v>Cisco Systems, Inc.</x:v>
      </x:c>
      <x:c r="C25" s="27" t="str">
        <x:v>server_network</x:v>
      </x:c>
      <x:c r="D25" s="55" t="str">
        <x:v>Data-center networking, switching and security infrastructure supplier.</x:v>
      </x:c>
      <x:c r="E25" s="27" t="str">
        <x:v>2015-01-01</x:v>
      </x:c>
      <x:c r="F25" s="27" t="str">
        <x:v>2026-09-07</x:v>
      </x:c>
      <x:c r="G25" s="52" t="b">
        <x:v>0</x:v>
      </x:c>
      <x:c r="H25" s="27" t="str">
        <x:v>provisional_static_source</x:v>
      </x:c>
      <x:c r="I25" s="52" t="b">
        <x:v>0</x:v>
      </x:c>
      <x:c r="J25" s="27" t="n">
        <x:v>0</x:v>
      </x:c>
      <x:c r="K25" s="27" t="str">
        <x:v>official_issuer_description</x:v>
      </x:c>
      <x:c r="L25" s="27" t="str">
        <x:v>Cisco About</x:v>
      </x:c>
      <x:c r="M25" s="27" t="str">
        <x:v>https://www.cisco.com/c/en/us/about.html</x:v>
      </x:c>
      <x:c r="N25" s="27" t="str">
        <x:v>SUPPLY_CHAIN_ROLE_SELECTED_NO_RETURN_SCREEN</x:v>
      </x:c>
      <x:c r="O25" s="55" t="str">
        <x:v>Issuer description is a current/reference snapshot and was not downloaded or hashed in this run; it cannot backfill historical membership.</x:v>
      </x:c>
    </x:row>
    <x:row r="26" ht="24" hidden="0" customHeight="1">
      <x:c r="A26" s="58" t="str">
        <x:v>JNPR.N^G25</x:v>
      </x:c>
      <x:c r="B26" s="27" t="str">
        <x:v>Juniper Networks, Inc.</x:v>
      </x:c>
      <x:c r="C26" s="27" t="str">
        <x:v>server_network</x:v>
      </x:c>
      <x:c r="D26" s="55" t="str">
        <x:v>Data-center/networking equipment supplier; historical RIC retained through its delisting span.</x:v>
      </x:c>
      <x:c r="E26" s="27" t="str">
        <x:v>2015-01-01</x:v>
      </x:c>
      <x:c r="F26" s="27" t="str">
        <x:v>2025-07-08</x:v>
      </x:c>
      <x:c r="G26" s="52" t="b">
        <x:v>1</x:v>
      </x:c>
      <x:c r="H26" s="27" t="str">
        <x:v>provisional_static_source</x:v>
      </x:c>
      <x:c r="I26" s="52" t="b">
        <x:v>0</x:v>
      </x:c>
      <x:c r="J26" s="27" t="n">
        <x:v>0</x:v>
      </x:c>
      <x:c r="K26" s="27" t="str">
        <x:v>official_issuer_description</x:v>
      </x:c>
      <x:c r="L26" s="27" t="str">
        <x:v>Juniper Company</x:v>
      </x:c>
      <x:c r="M26" s="27" t="str">
        <x:v>https://www.juniper.net/us/en/company.html</x:v>
      </x:c>
      <x:c r="N26" s="27" t="str">
        <x:v>SUPPLY_CHAIN_ROLE_SELECTED_NO_RETURN_SCREEN</x:v>
      </x:c>
      <x:c r="O26" s="55" t="str">
        <x:v>Issuer description is a current/reference snapshot and was not downloaded or hashed in this run; it cannot backfill historical membership.</x:v>
      </x:c>
    </x:row>
    <x:row r="27" ht="24" hidden="0" customHeight="1">
      <x:c r="A27" s="58" t="str">
        <x:v>CIEN.N</x:v>
      </x:c>
      <x:c r="B27" s="27" t="str">
        <x:v>Ciena Corporation</x:v>
      </x:c>
      <x:c r="C27" s="27" t="str">
        <x:v>server_network</x:v>
      </x:c>
      <x:c r="D27" s="55" t="str">
        <x:v>Optical and packet networking infrastructure supplier for cloud/data-center traffic.</x:v>
      </x:c>
      <x:c r="E27" s="27" t="str">
        <x:v>2026-02-09</x:v>
      </x:c>
      <x:c r="F27" s="27" t="str">
        <x:v>2026-09-07</x:v>
      </x:c>
      <x:c r="G27" s="52" t="b">
        <x:v>0</x:v>
      </x:c>
      <x:c r="H27" s="27" t="str">
        <x:v>provisional_static_source</x:v>
      </x:c>
      <x:c r="I27" s="52" t="b">
        <x:v>0</x:v>
      </x:c>
      <x:c r="J27" s="27" t="n">
        <x:v>0</x:v>
      </x:c>
      <x:c r="K27" s="27" t="str">
        <x:v>official_issuer_description</x:v>
      </x:c>
      <x:c r="L27" s="27" t="str">
        <x:v>Ciena About</x:v>
      </x:c>
      <x:c r="M27" s="27" t="str">
        <x:v>https://www.ciena.com/about</x:v>
      </x:c>
      <x:c r="N27" s="27" t="str">
        <x:v>SUPPLY_CHAIN_ROLE_SELECTED_NO_RETURN_SCREEN</x:v>
      </x:c>
      <x:c r="O27" s="55" t="str">
        <x:v>Issuer description is a current/reference snapshot and was not downloaded or hashed in this run; it cannot backfill historical membership.</x:v>
      </x:c>
    </x:row>
    <x:row r="28" ht="36" hidden="0" customHeight="1">
      <x:c r="A28" s="58" t="str">
        <x:v>MSFT.OQ</x:v>
      </x:c>
      <x:c r="B28" s="27" t="str">
        <x:v>Microsoft Corporation</x:v>
      </x:c>
      <x:c r="C28" s="27" t="str">
        <x:v>cloud_software</x:v>
      </x:c>
      <x:c r="D28" s="55" t="str">
        <x:v>Cloud AI services and machine-learning platform provider.</x:v>
      </x:c>
      <x:c r="E28" s="27" t="str">
        <x:v>2015-01-01</x:v>
      </x:c>
      <x:c r="F28" s="27" t="str">
        <x:v>2026-09-07</x:v>
      </x:c>
      <x:c r="G28" s="52" t="b">
        <x:v>0</x:v>
      </x:c>
      <x:c r="H28" s="27" t="str">
        <x:v>direct_local_pit</x:v>
      </x:c>
      <x:c r="I28" s="52" t="b">
        <x:v>1</x:v>
      </x:c>
      <x:c r="J28" s="27" t="n">
        <x:v>10</x:v>
      </x:c>
      <x:c r="K28" s="27" t="str">
        <x:v>official_issuer_description</x:v>
      </x:c>
      <x:c r="L28" s="27" t="str">
        <x:v>Microsoft About</x:v>
      </x:c>
      <x:c r="M28" s="27" t="str">
        <x:v>https://www.microsoft.com/en-us/about</x:v>
      </x:c>
      <x:c r="N28" s="27" t="str">
        <x:v>SUPPLY_CHAIN_ROLE_SELECTED_NO_RETURN_SCREEN</x:v>
      </x:c>
      <x:c r="O28" s="55" t="str">
        <x:v>Local Orig segment keyword match joins an Orig announcement date; day-level date only and raw segment taxonomy coverage is limited to this LSEG run.</x:v>
      </x:c>
    </x:row>
    <x:row r="29" ht="24" hidden="0" customHeight="1">
      <x:c r="A29" s="58" t="str">
        <x:v>AMZN.OQ</x:v>
      </x:c>
      <x:c r="B29" s="27" t="str">
        <x:v>Amazon.com, Inc.</x:v>
      </x:c>
      <x:c r="C29" s="27" t="str">
        <x:v>cloud_software</x:v>
      </x:c>
      <x:c r="D29" s="55" t="str">
        <x:v>Cloud AI infrastructure and managed AI services provider.</x:v>
      </x:c>
      <x:c r="E29" s="27" t="str">
        <x:v>2015-01-01</x:v>
      </x:c>
      <x:c r="F29" s="27" t="str">
        <x:v>2026-09-07</x:v>
      </x:c>
      <x:c r="G29" s="52" t="b">
        <x:v>0</x:v>
      </x:c>
      <x:c r="H29" s="27" t="str">
        <x:v>provisional_static_source</x:v>
      </x:c>
      <x:c r="I29" s="52" t="b">
        <x:v>0</x:v>
      </x:c>
      <x:c r="J29" s="27" t="n">
        <x:v>0</x:v>
      </x:c>
      <x:c r="K29" s="27" t="str">
        <x:v>official_issuer_description</x:v>
      </x:c>
      <x:c r="L29" s="27" t="str">
        <x:v>About Amazon</x:v>
      </x:c>
      <x:c r="M29" s="27" t="str">
        <x:v>https://www.aboutamazon.com/about-us</x:v>
      </x:c>
      <x:c r="N29" s="27" t="str">
        <x:v>SUPPLY_CHAIN_ROLE_SELECTED_NO_RETURN_SCREEN</x:v>
      </x:c>
      <x:c r="O29" s="55" t="str">
        <x:v>Issuer description is a current/reference snapshot and was not downloaded or hashed in this run; it cannot backfill historical membership.</x:v>
      </x:c>
    </x:row>
    <x:row r="30" ht="24" hidden="0" customHeight="1">
      <x:c r="A30" s="58" t="str">
        <x:v>GOOG.OQ</x:v>
      </x:c>
      <x:c r="B30" s="27" t="str">
        <x:v>Alphabet Inc.</x:v>
      </x:c>
      <x:c r="C30" s="27" t="str">
        <x:v>cloud_software</x:v>
      </x:c>
      <x:c r="D30" s="55" t="str">
        <x:v>Cloud AI platform, model and AI-enabled services provider.</x:v>
      </x:c>
      <x:c r="E30" s="27" t="str">
        <x:v>2015-01-01</x:v>
      </x:c>
      <x:c r="F30" s="27" t="str">
        <x:v>2026-09-07</x:v>
      </x:c>
      <x:c r="G30" s="52" t="b">
        <x:v>0</x:v>
      </x:c>
      <x:c r="H30" s="27" t="str">
        <x:v>provisional_static_source</x:v>
      </x:c>
      <x:c r="I30" s="52" t="b">
        <x:v>0</x:v>
      </x:c>
      <x:c r="J30" s="27" t="n">
        <x:v>0</x:v>
      </x:c>
      <x:c r="K30" s="27" t="str">
        <x:v>official_issuer_description</x:v>
      </x:c>
      <x:c r="L30" s="27" t="str">
        <x:v>Google Company Info</x:v>
      </x:c>
      <x:c r="M30" s="27" t="str">
        <x:v>https://about.google/intl/en_us/company-info/</x:v>
      </x:c>
      <x:c r="N30" s="27" t="str">
        <x:v>SUPPLY_CHAIN_ROLE_SELECTED_NO_RETURN_SCREEN</x:v>
      </x:c>
      <x:c r="O30" s="55" t="str">
        <x:v>Issuer description is a current/reference snapshot and was not downloaded or hashed in this run; it cannot backfill historical membership.</x:v>
      </x:c>
    </x:row>
    <x:row r="31" ht="24" hidden="0" customHeight="1">
      <x:c r="A31" s="58" t="str">
        <x:v>META.OQ</x:v>
      </x:c>
      <x:c r="B31" s="27" t="str">
        <x:v>Meta Platforms, Inc.</x:v>
      </x:c>
      <x:c r="C31" s="27" t="str">
        <x:v>cloud_software</x:v>
      </x:c>
      <x:c r="D31" s="55" t="str">
        <x:v>Large-scale AI model, recommendation and data-center compute operator.</x:v>
      </x:c>
      <x:c r="E31" s="27" t="str">
        <x:v>2015-01-01</x:v>
      </x:c>
      <x:c r="F31" s="27" t="str">
        <x:v>2026-09-07</x:v>
      </x:c>
      <x:c r="G31" s="52" t="b">
        <x:v>0</x:v>
      </x:c>
      <x:c r="H31" s="27" t="str">
        <x:v>provisional_static_source</x:v>
      </x:c>
      <x:c r="I31" s="52" t="b">
        <x:v>0</x:v>
      </x:c>
      <x:c r="J31" s="27" t="n">
        <x:v>0</x:v>
      </x:c>
      <x:c r="K31" s="27" t="str">
        <x:v>official_issuer_description</x:v>
      </x:c>
      <x:c r="L31" s="27" t="str">
        <x:v>Meta Company Info</x:v>
      </x:c>
      <x:c r="M31" s="27" t="str">
        <x:v>https://about.meta.com/company-info/</x:v>
      </x:c>
      <x:c r="N31" s="27" t="str">
        <x:v>SUPPLY_CHAIN_ROLE_SELECTED_NO_RETURN_SCREEN</x:v>
      </x:c>
      <x:c r="O31" s="55" t="str">
        <x:v>Issuer description is a current/reference snapshot and was not downloaded or hashed in this run; it cannot backfill historical membership.</x:v>
      </x:c>
    </x:row>
    <x:row r="32" ht="24" hidden="0" customHeight="1">
      <x:c r="A32" s="58" t="str">
        <x:v>ORCL.N</x:v>
      </x:c>
      <x:c r="B32" s="27" t="str">
        <x:v>Oracle Corporation</x:v>
      </x:c>
      <x:c r="C32" s="27" t="str">
        <x:v>cloud_software</x:v>
      </x:c>
      <x:c r="D32" s="55" t="str">
        <x:v>Cloud infrastructure, database and enterprise AI services provider.</x:v>
      </x:c>
      <x:c r="E32" s="27" t="str">
        <x:v>2015-01-01</x:v>
      </x:c>
      <x:c r="F32" s="27" t="str">
        <x:v>2026-09-07</x:v>
      </x:c>
      <x:c r="G32" s="52" t="b">
        <x:v>0</x:v>
      </x:c>
      <x:c r="H32" s="27" t="str">
        <x:v>provisional_static_source</x:v>
      </x:c>
      <x:c r="I32" s="52" t="b">
        <x:v>0</x:v>
      </x:c>
      <x:c r="J32" s="27" t="n">
        <x:v>0</x:v>
      </x:c>
      <x:c r="K32" s="27" t="str">
        <x:v>official_issuer_description</x:v>
      </x:c>
      <x:c r="L32" s="27" t="str">
        <x:v>Oracle Corporate</x:v>
      </x:c>
      <x:c r="M32" s="27" t="str">
        <x:v>https://www.oracle.com/corporate/</x:v>
      </x:c>
      <x:c r="N32" s="27" t="str">
        <x:v>SUPPLY_CHAIN_ROLE_SELECTED_NO_RETURN_SCREEN</x:v>
      </x:c>
      <x:c r="O32" s="55" t="str">
        <x:v>Issuer description is a current/reference snapshot and was not downloaded or hashed in this run; it cannot backfill historical membership.</x:v>
      </x:c>
    </x:row>
    <x:row r="33" ht="24" hidden="0" customHeight="1">
      <x:c r="A33" s="58" t="str">
        <x:v>IBM.N</x:v>
      </x:c>
      <x:c r="B33" s="27" t="str">
        <x:v>International Business Machines Corporation</x:v>
      </x:c>
      <x:c r="C33" s="27" t="str">
        <x:v>cloud_software</x:v>
      </x:c>
      <x:c r="D33" s="55" t="str">
        <x:v>Enterprise AI software, hybrid cloud and AI services provider.</x:v>
      </x:c>
      <x:c r="E33" s="27" t="str">
        <x:v>2015-01-01</x:v>
      </x:c>
      <x:c r="F33" s="27" t="str">
        <x:v>2026-09-07</x:v>
      </x:c>
      <x:c r="G33" s="52" t="b">
        <x:v>0</x:v>
      </x:c>
      <x:c r="H33" s="27" t="str">
        <x:v>provisional_static_source</x:v>
      </x:c>
      <x:c r="I33" s="52" t="b">
        <x:v>0</x:v>
      </x:c>
      <x:c r="J33" s="27" t="n">
        <x:v>0</x:v>
      </x:c>
      <x:c r="K33" s="27" t="str">
        <x:v>official_issuer_description</x:v>
      </x:c>
      <x:c r="L33" s="27" t="str">
        <x:v>IBM About</x:v>
      </x:c>
      <x:c r="M33" s="27" t="str">
        <x:v>https://www.ibm.com/about</x:v>
      </x:c>
      <x:c r="N33" s="27" t="str">
        <x:v>SUPPLY_CHAIN_ROLE_SELECTED_NO_RETURN_SCREEN</x:v>
      </x:c>
      <x:c r="O33" s="55" t="str">
        <x:v>Issuer description is a current/reference snapshot and was not downloaded or hashed in this run; it cannot backfill historical membership.</x:v>
      </x:c>
    </x:row>
    <x:row r="34" ht="24" hidden="0" customHeight="1">
      <x:c r="A34" s="58" t="str">
        <x:v>NOW.N</x:v>
      </x:c>
      <x:c r="B34" s="27" t="str">
        <x:v>ServiceNow, Inc.</x:v>
      </x:c>
      <x:c r="C34" s="27" t="str">
        <x:v>cloud_software</x:v>
      </x:c>
      <x:c r="D34" s="55" t="str">
        <x:v>Enterprise cloud workflow platform with embedded generative/AI services.</x:v>
      </x:c>
      <x:c r="E34" s="27" t="str">
        <x:v>2019-11-21</x:v>
      </x:c>
      <x:c r="F34" s="27" t="str">
        <x:v>2026-09-07</x:v>
      </x:c>
      <x:c r="G34" s="52" t="b">
        <x:v>0</x:v>
      </x:c>
      <x:c r="H34" s="27" t="str">
        <x:v>provisional_static_source</x:v>
      </x:c>
      <x:c r="I34" s="52" t="b">
        <x:v>0</x:v>
      </x:c>
      <x:c r="J34" s="27" t="n">
        <x:v>0</x:v>
      </x:c>
      <x:c r="K34" s="27" t="str">
        <x:v>official_issuer_description</x:v>
      </x:c>
      <x:c r="L34" s="27" t="str">
        <x:v>ServiceNow Company</x:v>
      </x:c>
      <x:c r="M34" s="27" t="str">
        <x:v>https://www.servicenow.com/company.html</x:v>
      </x:c>
      <x:c r="N34" s="27" t="str">
        <x:v>SUPPLY_CHAIN_ROLE_SELECTED_NO_RETURN_SCREEN</x:v>
      </x:c>
      <x:c r="O34" s="55" t="str">
        <x:v>Issuer description is a current/reference snapshot and was not downloaded or hashed in this run; it cannot backfill historical membership.</x:v>
      </x:c>
    </x:row>
    <x:row r="35" ht="24" hidden="0" customHeight="1">
      <x:c r="A35" s="58" t="str">
        <x:v>PLTR.OQ</x:v>
      </x:c>
      <x:c r="B35" s="27" t="str">
        <x:v>Palantir Technologies Inc.</x:v>
      </x:c>
      <x:c r="C35" s="27" t="str">
        <x:v>cloud_software</x:v>
      </x:c>
      <x:c r="D35" s="55" t="str">
        <x:v>Enterprise AI/data analytics platform provider.</x:v>
      </x:c>
      <x:c r="E35" s="27" t="str">
        <x:v>2024-09-23</x:v>
      </x:c>
      <x:c r="F35" s="27" t="str">
        <x:v>2026-09-07</x:v>
      </x:c>
      <x:c r="G35" s="52" t="b">
        <x:v>0</x:v>
      </x:c>
      <x:c r="H35" s="27" t="str">
        <x:v>provisional_static_source</x:v>
      </x:c>
      <x:c r="I35" s="52" t="b">
        <x:v>0</x:v>
      </x:c>
      <x:c r="J35" s="27" t="n">
        <x:v>0</x:v>
      </x:c>
      <x:c r="K35" s="27" t="str">
        <x:v>official_issuer_description</x:v>
      </x:c>
      <x:c r="L35" s="27" t="str">
        <x:v>Palantir About</x:v>
      </x:c>
      <x:c r="M35" s="27" t="str">
        <x:v>https://www.palantir.com/about/</x:v>
      </x:c>
      <x:c r="N35" s="27" t="str">
        <x:v>SUPPLY_CHAIN_ROLE_SELECTED_NO_RETURN_SCREEN</x:v>
      </x:c>
      <x:c r="O35" s="55" t="str">
        <x:v>Issuer description is a current/reference snapshot and was not downloaded or hashed in this run; it cannot backfill historical membership.</x:v>
      </x:c>
    </x:row>
    <x:row r="36" ht="24" hidden="0" customHeight="1">
      <x:c r="A36" s="58" t="str">
        <x:v>SNPS.OQ</x:v>
      </x:c>
      <x:c r="B36" s="27" t="str">
        <x:v>Synopsys, Inc.</x:v>
      </x:c>
      <x:c r="C36" s="27" t="str">
        <x:v>cloud_software</x:v>
      </x:c>
      <x:c r="D36" s="55" t="str">
        <x:v>Electronic-design automation and AI-assisted chip design software platform.</x:v>
      </x:c>
      <x:c r="E36" s="27" t="str">
        <x:v>2017-03-16</x:v>
      </x:c>
      <x:c r="F36" s="27" t="str">
        <x:v>2026-09-07</x:v>
      </x:c>
      <x:c r="G36" s="52" t="b">
        <x:v>0</x:v>
      </x:c>
      <x:c r="H36" s="27" t="str">
        <x:v>provisional_static_source</x:v>
      </x:c>
      <x:c r="I36" s="52" t="b">
        <x:v>0</x:v>
      </x:c>
      <x:c r="J36" s="27" t="n">
        <x:v>0</x:v>
      </x:c>
      <x:c r="K36" s="27" t="str">
        <x:v>official_issuer_description</x:v>
      </x:c>
      <x:c r="L36" s="27" t="str">
        <x:v>Synopsys Company</x:v>
      </x:c>
      <x:c r="M36" s="27" t="str">
        <x:v>https://www.synopsys.com/company.html</x:v>
      </x:c>
      <x:c r="N36" s="27" t="str">
        <x:v>SUPPLY_CHAIN_ROLE_SELECTED_NO_RETURN_SCREEN</x:v>
      </x:c>
      <x:c r="O36" s="55" t="str">
        <x:v>Issuer description is a current/reference snapshot and was not downloaded or hashed in this run; it cannot backfill historical membership.</x:v>
      </x:c>
    </x:row>
    <x:row r="37" ht="24" hidden="0" customHeight="1">
      <x:c r="A37" s="58" t="str">
        <x:v>CDNS.OQ</x:v>
      </x:c>
      <x:c r="B37" s="27" t="str">
        <x:v>Cadence Design Systems, Inc.</x:v>
      </x:c>
      <x:c r="C37" s="27" t="str">
        <x:v>cloud_software</x:v>
      </x:c>
      <x:c r="D37" s="55" t="str">
        <x:v>Electronic-design automation, simulation and AI-enabled chip design platform.</x:v>
      </x:c>
      <x:c r="E37" s="27" t="str">
        <x:v>2017-09-18</x:v>
      </x:c>
      <x:c r="F37" s="27" t="str">
        <x:v>2026-09-07</x:v>
      </x:c>
      <x:c r="G37" s="52" t="b">
        <x:v>0</x:v>
      </x:c>
      <x:c r="H37" s="27" t="str">
        <x:v>provisional_static_source</x:v>
      </x:c>
      <x:c r="I37" s="52" t="b">
        <x:v>0</x:v>
      </x:c>
      <x:c r="J37" s="27" t="n">
        <x:v>0</x:v>
      </x:c>
      <x:c r="K37" s="27" t="str">
        <x:v>official_issuer_description</x:v>
      </x:c>
      <x:c r="L37" s="27" t="str">
        <x:v>Cadence Company</x:v>
      </x:c>
      <x:c r="M37" s="27" t="str">
        <x:v>https://www.cadence.com/en_US/home/company.html</x:v>
      </x:c>
      <x:c r="N37" s="27" t="str">
        <x:v>SUPPLY_CHAIN_ROLE_SELECTED_NO_RETURN_SCREEN</x:v>
      </x:c>
      <x:c r="O37" s="55" t="str">
        <x:v>Issuer description is a current/reference snapshot and was not downloaded or hashed in this run; it cannot backfill historical membership.</x:v>
      </x:c>
    </x:row>
    <x:row r="38" ht="36" hidden="0" customHeight="1">
      <x:c r="A38" s="58" t="str">
        <x:v>EQIX.OQ</x:v>
      </x:c>
      <x:c r="B38" s="27" t="str">
        <x:v>Equinix, Inc.</x:v>
      </x:c>
      <x:c r="C38" s="27" t="str">
        <x:v>data_center_power_cooling</x:v>
      </x:c>
      <x:c r="D38" s="55" t="str">
        <x:v>Colocation data-center operator and interconnection provider.</x:v>
      </x:c>
      <x:c r="E38" s="27" t="str">
        <x:v>2015-03-23</x:v>
      </x:c>
      <x:c r="F38" s="27" t="str">
        <x:v>2026-09-07</x:v>
      </x:c>
      <x:c r="G38" s="52" t="b">
        <x:v>0</x:v>
      </x:c>
      <x:c r="H38" s="27" t="str">
        <x:v>direct_local_pit</x:v>
      </x:c>
      <x:c r="I38" s="52" t="b">
        <x:v>1</x:v>
      </x:c>
      <x:c r="J38" s="27" t="n">
        <x:v>14</x:v>
      </x:c>
      <x:c r="K38" s="27" t="str">
        <x:v>official_issuer_description</x:v>
      </x:c>
      <x:c r="L38" s="27" t="str">
        <x:v>Equinix Investor Overview</x:v>
      </x:c>
      <x:c r="M38" s="27" t="str">
        <x:v>https://investor.equinix.com/overview/default.aspx</x:v>
      </x:c>
      <x:c r="N38" s="27" t="str">
        <x:v>SUPPLY_CHAIN_ROLE_SELECTED_NO_RETURN_SCREEN</x:v>
      </x:c>
      <x:c r="O38" s="55" t="str">
        <x:v>Local Orig segment keyword match joins an Orig announcement date; day-level date only and raw segment taxonomy coverage is limited to this LSEG run.</x:v>
      </x:c>
    </x:row>
    <x:row r="39" ht="24" hidden="0" customHeight="1">
      <x:c r="A39" s="58" t="str">
        <x:v>DLR.N</x:v>
      </x:c>
      <x:c r="B39" s="27" t="str">
        <x:v>Digital Realty Trust, Inc.</x:v>
      </x:c>
      <x:c r="C39" s="27" t="str">
        <x:v>data_center_power_cooling</x:v>
      </x:c>
      <x:c r="D39" s="55" t="str">
        <x:v>Data-center real-estate and colocation infrastructure operator.</x:v>
      </x:c>
      <x:c r="E39" s="27" t="str">
        <x:v>2016-05-18</x:v>
      </x:c>
      <x:c r="F39" s="27" t="str">
        <x:v>2026-09-07</x:v>
      </x:c>
      <x:c r="G39" s="52" t="b">
        <x:v>0</x:v>
      </x:c>
      <x:c r="H39" s="27" t="str">
        <x:v>provisional_static_source</x:v>
      </x:c>
      <x:c r="I39" s="52" t="b">
        <x:v>0</x:v>
      </x:c>
      <x:c r="J39" s="27" t="n">
        <x:v>0</x:v>
      </x:c>
      <x:c r="K39" s="27" t="str">
        <x:v>official_issuer_description</x:v>
      </x:c>
      <x:c r="L39" s="27" t="str">
        <x:v>Digital Realty About</x:v>
      </x:c>
      <x:c r="M39" s="27" t="str">
        <x:v>https://www.digitalrealty.com/about</x:v>
      </x:c>
      <x:c r="N39" s="27" t="str">
        <x:v>SUPPLY_CHAIN_ROLE_SELECTED_NO_RETURN_SCREEN</x:v>
      </x:c>
      <x:c r="O39" s="55" t="str">
        <x:v>Issuer description is a current/reference snapshot and was not downloaded or hashed in this run; it cannot backfill historical membership.</x:v>
      </x:c>
    </x:row>
    <x:row r="40" ht="36" hidden="0" customHeight="1">
      <x:c r="A40" s="58" t="str">
        <x:v>AMT.N</x:v>
      </x:c>
      <x:c r="B40" s="27" t="str">
        <x:v>American Tower Corporation</x:v>
      </x:c>
      <x:c r="C40" s="27" t="str">
        <x:v>data_center_power_cooling</x:v>
      </x:c>
      <x:c r="D40" s="55" t="str">
        <x:v>Communications infrastructure operator with data-center assets.</x:v>
      </x:c>
      <x:c r="E40" s="27" t="str">
        <x:v>2015-01-01</x:v>
      </x:c>
      <x:c r="F40" s="27" t="str">
        <x:v>2026-09-07</x:v>
      </x:c>
      <x:c r="G40" s="52" t="b">
        <x:v>0</x:v>
      </x:c>
      <x:c r="H40" s="27" t="str">
        <x:v>direct_local_pit</x:v>
      </x:c>
      <x:c r="I40" s="52" t="b">
        <x:v>1</x:v>
      </x:c>
      <x:c r="J40" s="27" t="n">
        <x:v>10</x:v>
      </x:c>
      <x:c r="K40" s="27" t="str">
        <x:v>official_issuer_description</x:v>
      </x:c>
      <x:c r="L40" s="27" t="str">
        <x:v>American Tower About Us</x:v>
      </x:c>
      <x:c r="M40" s="27" t="str">
        <x:v>https://www.americantower.com/company/about-us</x:v>
      </x:c>
      <x:c r="N40" s="27" t="str">
        <x:v>SUPPLY_CHAIN_ROLE_SELECTED_NO_RETURN_SCREEN</x:v>
      </x:c>
      <x:c r="O40" s="55" t="str">
        <x:v>Local Orig segment keyword match joins an Orig announcement date; day-level date only and raw segment taxonomy coverage is limited to this LSEG run.</x:v>
      </x:c>
    </x:row>
    <x:row r="41" ht="36" hidden="0" customHeight="1">
      <x:c r="A41" s="58" t="str">
        <x:v>IRM.N</x:v>
      </x:c>
      <x:c r="B41" s="27" t="str">
        <x:v>Iron Mountain Incorporated</x:v>
      </x:c>
      <x:c r="C41" s="27" t="str">
        <x:v>data_center_power_cooling</x:v>
      </x:c>
      <x:c r="D41" s="55" t="str">
        <x:v>Data-center and information infrastructure operator.</x:v>
      </x:c>
      <x:c r="E41" s="27" t="str">
        <x:v>2015-01-01</x:v>
      </x:c>
      <x:c r="F41" s="27" t="str">
        <x:v>2026-09-07</x:v>
      </x:c>
      <x:c r="G41" s="52" t="b">
        <x:v>0</x:v>
      </x:c>
      <x:c r="H41" s="27" t="str">
        <x:v>direct_local_pit</x:v>
      </x:c>
      <x:c r="I41" s="52" t="b">
        <x:v>1</x:v>
      </x:c>
      <x:c r="J41" s="27" t="n">
        <x:v>18</x:v>
      </x:c>
      <x:c r="K41" s="27" t="str">
        <x:v>official_issuer_description</x:v>
      </x:c>
      <x:c r="L41" s="27" t="str">
        <x:v>Iron Mountain About Us</x:v>
      </x:c>
      <x:c r="M41" s="27" t="str">
        <x:v>https://www.ironmountain.com/about-us</x:v>
      </x:c>
      <x:c r="N41" s="27" t="str">
        <x:v>SUPPLY_CHAIN_ROLE_SELECTED_NO_RETURN_SCREEN</x:v>
      </x:c>
      <x:c r="O41" s="55" t="str">
        <x:v>Local Orig segment keyword match joins an Orig announcement date; day-level date only and raw segment taxonomy coverage is limited to this LSEG run.</x:v>
      </x:c>
    </x:row>
    <x:row r="42" ht="24" hidden="0" customHeight="1">
      <x:c r="A42" s="58" t="str">
        <x:v>VRT.N</x:v>
      </x:c>
      <x:c r="B42" s="27" t="str">
        <x:v>Vertiv Holdings Co</x:v>
      </x:c>
      <x:c r="C42" s="27" t="str">
        <x:v>data_center_power_cooling</x:v>
      </x:c>
      <x:c r="D42" s="55" t="str">
        <x:v>Data-center power, thermal management and liquid-cooling equipment supplier.</x:v>
      </x:c>
      <x:c r="E42" s="27" t="str">
        <x:v>2026-03-23</x:v>
      </x:c>
      <x:c r="F42" s="27" t="str">
        <x:v>2026-09-07</x:v>
      </x:c>
      <x:c r="G42" s="52" t="b">
        <x:v>0</x:v>
      </x:c>
      <x:c r="H42" s="27" t="str">
        <x:v>provisional_static_source</x:v>
      </x:c>
      <x:c r="I42" s="52" t="b">
        <x:v>0</x:v>
      </x:c>
      <x:c r="J42" s="27" t="n">
        <x:v>0</x:v>
      </x:c>
      <x:c r="K42" s="27" t="str">
        <x:v>official_issuer_description</x:v>
      </x:c>
      <x:c r="L42" s="27" t="str">
        <x:v>Vertiv Company</x:v>
      </x:c>
      <x:c r="M42" s="27" t="str">
        <x:v>https://www.vertiv.com/en-us/about/company/</x:v>
      </x:c>
      <x:c r="N42" s="27" t="str">
        <x:v>SUPPLY_CHAIN_ROLE_SELECTED_NO_RETURN_SCREEN</x:v>
      </x:c>
      <x:c r="O42" s="55" t="str">
        <x:v>Issuer description is a current/reference snapshot and was not downloaded or hashed in this run; it cannot backfill historical membership.</x:v>
      </x:c>
    </x:row>
    <x:row r="43" ht="24" hidden="0" customHeight="1">
      <x:c r="A43" s="58" t="str">
        <x:v>ETN.N</x:v>
      </x:c>
      <x:c r="B43" s="27" t="str">
        <x:v>Eaton Corporation plc</x:v>
      </x:c>
      <x:c r="C43" s="27" t="str">
        <x:v>data_center_power_cooling</x:v>
      </x:c>
      <x:c r="D43" s="55" t="str">
        <x:v>Power-management, UPS and electrical-distribution supplier for data centers.</x:v>
      </x:c>
      <x:c r="E43" s="27" t="str">
        <x:v>2015-01-01</x:v>
      </x:c>
      <x:c r="F43" s="27" t="str">
        <x:v>2026-09-07</x:v>
      </x:c>
      <x:c r="G43" s="52" t="b">
        <x:v>0</x:v>
      </x:c>
      <x:c r="H43" s="27" t="str">
        <x:v>provisional_static_source</x:v>
      </x:c>
      <x:c r="I43" s="52" t="b">
        <x:v>0</x:v>
      </x:c>
      <x:c r="J43" s="27" t="n">
        <x:v>0</x:v>
      </x:c>
      <x:c r="K43" s="27" t="str">
        <x:v>official_issuer_description</x:v>
      </x:c>
      <x:c r="L43" s="27" t="str">
        <x:v>Eaton About Us</x:v>
      </x:c>
      <x:c r="M43" s="27" t="str">
        <x:v>https://www.eaton.com/us/en-us/company/about-us.html</x:v>
      </x:c>
      <x:c r="N43" s="27" t="str">
        <x:v>SUPPLY_CHAIN_ROLE_SELECTED_NO_RETURN_SCREEN</x:v>
      </x:c>
      <x:c r="O43" s="55" t="str">
        <x:v>Issuer description is a current/reference snapshot and was not downloaded or hashed in this run; it cannot backfill historical membership.</x:v>
      </x:c>
    </x:row>
    <x:row r="44" ht="24" hidden="0" customHeight="1">
      <x:c r="A44" s="58" t="str">
        <x:v>TT.N</x:v>
      </x:c>
      <x:c r="B44" s="27" t="str">
        <x:v>Trane Technologies plc</x:v>
      </x:c>
      <x:c r="C44" s="27" t="str">
        <x:v>data_center_power_cooling</x:v>
      </x:c>
      <x:c r="D44" s="55" t="str">
        <x:v>Thermal-management and cooling systems supplier, including data-center cooling.</x:v>
      </x:c>
      <x:c r="E44" s="27" t="str">
        <x:v>2015-01-01</x:v>
      </x:c>
      <x:c r="F44" s="27" t="str">
        <x:v>2026-09-07</x:v>
      </x:c>
      <x:c r="G44" s="52" t="b">
        <x:v>0</x:v>
      </x:c>
      <x:c r="H44" s="27" t="str">
        <x:v>provisional_static_source</x:v>
      </x:c>
      <x:c r="I44" s="52" t="b">
        <x:v>0</x:v>
      </x:c>
      <x:c r="J44" s="27" t="n">
        <x:v>0</x:v>
      </x:c>
      <x:c r="K44" s="27" t="str">
        <x:v>official_issuer_description</x:v>
      </x:c>
      <x:c r="L44" s="27" t="str">
        <x:v>Trane Technologies About Us</x:v>
      </x:c>
      <x:c r="M44" s="27" t="str">
        <x:v>https://www.tranetechnologies.com/en/index/company/about-us.html</x:v>
      </x:c>
      <x:c r="N44" s="27" t="str">
        <x:v>SUPPLY_CHAIN_ROLE_SELECTED_NO_RETURN_SCREEN</x:v>
      </x:c>
      <x:c r="O44" s="55" t="str">
        <x:v>Issuer description is a current/reference snapshot and was not downloaded or hashed in this run; it cannot backfill historical membership.</x:v>
      </x:c>
    </x:row>
    <x:row r="45" ht="24" hidden="0" customHeight="1">
      <x:c r="A45" s="58" t="str">
        <x:v>JCI.N</x:v>
      </x:c>
      <x:c r="B45" s="27" t="str">
        <x:v>Johnson Controls International plc</x:v>
      </x:c>
      <x:c r="C45" s="27" t="str">
        <x:v>data_center_power_cooling</x:v>
      </x:c>
      <x:c r="D45" s="55" t="str">
        <x:v>Building-management and cooling/thermal systems supplier for critical facilities.</x:v>
      </x:c>
      <x:c r="E45" s="27" t="str">
        <x:v>2015-01-01</x:v>
      </x:c>
      <x:c r="F45" s="27" t="str">
        <x:v>2026-09-07</x:v>
      </x:c>
      <x:c r="G45" s="52" t="b">
        <x:v>0</x:v>
      </x:c>
      <x:c r="H45" s="27" t="str">
        <x:v>provisional_static_source</x:v>
      </x:c>
      <x:c r="I45" s="52" t="b">
        <x:v>0</x:v>
      </x:c>
      <x:c r="J45" s="27" t="n">
        <x:v>0</x:v>
      </x:c>
      <x:c r="K45" s="27" t="str">
        <x:v>official_issuer_description</x:v>
      </x:c>
      <x:c r="L45" s="27" t="str">
        <x:v>Johnson Controls About Us</x:v>
      </x:c>
      <x:c r="M45" s="27" t="str">
        <x:v>https://www.johnsoncontrols.com/about-us</x:v>
      </x:c>
      <x:c r="N45" s="27" t="str">
        <x:v>SUPPLY_CHAIN_ROLE_SELECTED_NO_RETURN_SCREEN</x:v>
      </x:c>
      <x:c r="O45" s="55" t="str">
        <x:v>Issuer description is a current/reference snapshot and was not downloaded or hashed in this run; it cannot backfill historical membership.</x:v>
      </x:c>
    </x:row>
    <x:row r="46" ht="24" hidden="0" customHeight="1">
      <x:c r="A46" s="58" t="str">
        <x:v>CARR.N</x:v>
      </x:c>
      <x:c r="B46" s="27" t="str">
        <x:v>Carrier Global Corporation</x:v>
      </x:c>
      <x:c r="C46" s="27" t="str">
        <x:v>data_center_power_cooling</x:v>
      </x:c>
      <x:c r="D46" s="55" t="str">
        <x:v>HVAC and thermal-management equipment supplier for data-center facilities.</x:v>
      </x:c>
      <x:c r="E46" s="27" t="str">
        <x:v>2020-04-03</x:v>
      </x:c>
      <x:c r="F46" s="27" t="str">
        <x:v>2026-09-07</x:v>
      </x:c>
      <x:c r="G46" s="52" t="b">
        <x:v>0</x:v>
      </x:c>
      <x:c r="H46" s="27" t="str">
        <x:v>provisional_static_source</x:v>
      </x:c>
      <x:c r="I46" s="52" t="b">
        <x:v>0</x:v>
      </x:c>
      <x:c r="J46" s="27" t="n">
        <x:v>0</x:v>
      </x:c>
      <x:c r="K46" s="27" t="str">
        <x:v>official_issuer_description</x:v>
      </x:c>
      <x:c r="L46" s="27" t="str">
        <x:v>Carrier About Us</x:v>
      </x:c>
      <x:c r="M46" s="27" t="str">
        <x:v>https://www.carr.com/about-us</x:v>
      </x:c>
      <x:c r="N46" s="27" t="str">
        <x:v>SUPPLY_CHAIN_ROLE_SELECTED_NO_RETURN_SCREEN</x:v>
      </x:c>
      <x:c r="O46" s="55" t="str">
        <x:v>Issuer description is a current/reference snapshot and was not downloaded or hashed in this run; it cannot backfill historical membership.</x:v>
      </x:c>
    </x:row>
    <x:row r="47" ht="24" hidden="0" customHeight="1">
      <x:c r="A47" s="58" t="str">
        <x:v>TSLA.OQ</x:v>
      </x:c>
      <x:c r="B47" s="27" t="str">
        <x:v>Tesla, Inc.</x:v>
      </x:c>
      <x:c r="C47" s="27" t="str">
        <x:v>robotics_autonomy</x:v>
      </x:c>
      <x:c r="D47" s="55" t="str">
        <x:v>Autonomous-driving software and robotic vehicle systems developer.</x:v>
      </x:c>
      <x:c r="E47" s="27" t="str">
        <x:v>2020-12-21</x:v>
      </x:c>
      <x:c r="F47" s="27" t="str">
        <x:v>2026-09-07</x:v>
      </x:c>
      <x:c r="G47" s="52" t="b">
        <x:v>0</x:v>
      </x:c>
      <x:c r="H47" s="27" t="str">
        <x:v>provisional_static_source</x:v>
      </x:c>
      <x:c r="I47" s="52" t="b">
        <x:v>0</x:v>
      </x:c>
      <x:c r="J47" s="27" t="n">
        <x:v>0</x:v>
      </x:c>
      <x:c r="K47" s="27" t="str">
        <x:v>official_issuer_description</x:v>
      </x:c>
      <x:c r="L47" s="27" t="str">
        <x:v>Tesla About</x:v>
      </x:c>
      <x:c r="M47" s="27" t="str">
        <x:v>https://www.tesla.com/about</x:v>
      </x:c>
      <x:c r="N47" s="27" t="str">
        <x:v>SUPPLY_CHAIN_ROLE_SELECTED_NO_RETURN_SCREEN</x:v>
      </x:c>
      <x:c r="O47" s="55" t="str">
        <x:v>Issuer description is a current/reference snapshot and was not downloaded or hashed in this run; it cannot backfill historical membership.</x:v>
      </x:c>
    </x:row>
    <x:row r="48" ht="36" hidden="0" customHeight="1">
      <x:c r="A48" s="58" t="str">
        <x:v>TER.OQ</x:v>
      </x:c>
      <x:c r="B48" s="27" t="str">
        <x:v>Teradyne, Inc.</x:v>
      </x:c>
      <x:c r="C48" s="27" t="str">
        <x:v>robotics_autonomy</x:v>
      </x:c>
      <x:c r="D48" s="55" t="str">
        <x:v>Industrial and collaborative robotics plus semiconductor test systems supplier.</x:v>
      </x:c>
      <x:c r="E48" s="27" t="str">
        <x:v>2020-09-21</x:v>
      </x:c>
      <x:c r="F48" s="27" t="str">
        <x:v>2026-09-07</x:v>
      </x:c>
      <x:c r="G48" s="52" t="b">
        <x:v>0</x:v>
      </x:c>
      <x:c r="H48" s="27" t="str">
        <x:v>direct_local_pit</x:v>
      </x:c>
      <x:c r="I48" s="52" t="b">
        <x:v>1</x:v>
      </x:c>
      <x:c r="J48" s="27" t="n">
        <x:v>11</x:v>
      </x:c>
      <x:c r="K48" s="27" t="str">
        <x:v>official_issuer_description</x:v>
      </x:c>
      <x:c r="L48" s="27" t="str">
        <x:v>Teradyne About Us</x:v>
      </x:c>
      <x:c r="M48" s="27" t="str">
        <x:v>https://www.teradyne.com/about-us/</x:v>
      </x:c>
      <x:c r="N48" s="27" t="str">
        <x:v>SUPPLY_CHAIN_ROLE_SELECTED_NO_RETURN_SCREEN</x:v>
      </x:c>
      <x:c r="O48" s="55" t="str">
        <x:v>Local Orig segment keyword match joins an Orig announcement date; day-level date only and raw segment taxonomy coverage is limited to this LSEG run.</x:v>
      </x:c>
    </x:row>
    <x:row r="49" ht="24" hidden="0" customHeight="1">
      <x:c r="A49" s="58" t="str">
        <x:v>ROK.N</x:v>
      </x:c>
      <x:c r="B49" s="27" t="str">
        <x:v>Rockwell Automation, Inc.</x:v>
      </x:c>
      <x:c r="C49" s="27" t="str">
        <x:v>robotics_autonomy</x:v>
      </x:c>
      <x:c r="D49" s="55" t="str">
        <x:v>Industrial automation, controls and machine-vision systems supplier.</x:v>
      </x:c>
      <x:c r="E49" s="27" t="str">
        <x:v>2015-01-01</x:v>
      </x:c>
      <x:c r="F49" s="27" t="str">
        <x:v>2026-09-07</x:v>
      </x:c>
      <x:c r="G49" s="52" t="b">
        <x:v>0</x:v>
      </x:c>
      <x:c r="H49" s="27" t="str">
        <x:v>provisional_static_source</x:v>
      </x:c>
      <x:c r="I49" s="52" t="b">
        <x:v>0</x:v>
      </x:c>
      <x:c r="J49" s="27" t="n">
        <x:v>0</x:v>
      </x:c>
      <x:c r="K49" s="27" t="str">
        <x:v>official_issuer_description</x:v>
      </x:c>
      <x:c r="L49" s="27" t="str">
        <x:v>Rockwell Automation About Us</x:v>
      </x:c>
      <x:c r="M49" s="27" t="str">
        <x:v>https://www.rockwellautomation.com/en-us/company/about-us.html</x:v>
      </x:c>
      <x:c r="N49" s="27" t="str">
        <x:v>SUPPLY_CHAIN_ROLE_SELECTED_NO_RETURN_SCREEN</x:v>
      </x:c>
      <x:c r="O49" s="55" t="str">
        <x:v>Issuer description is a current/reference snapshot and was not downloaded or hashed in this run; it cannot backfill historical membership.</x:v>
      </x:c>
    </x:row>
    <x:row r="50" ht="24" hidden="0" customHeight="1">
      <x:c r="A50" s="58" t="str">
        <x:v>HON.OQ</x:v>
      </x:c>
      <x:c r="B50" s="27" t="str">
        <x:v>Honeywell International Inc.</x:v>
      </x:c>
      <x:c r="C50" s="27" t="str">
        <x:v>robotics_autonomy</x:v>
      </x:c>
      <x:c r="D50" s="55" t="str">
        <x:v>Industrial automation, sensing and autonomous operations systems supplier.</x:v>
      </x:c>
      <x:c r="E50" s="27" t="str">
        <x:v>2015-01-01</x:v>
      </x:c>
      <x:c r="F50" s="27" t="str">
        <x:v>2026-09-07</x:v>
      </x:c>
      <x:c r="G50" s="52" t="b">
        <x:v>0</x:v>
      </x:c>
      <x:c r="H50" s="27" t="str">
        <x:v>provisional_static_source</x:v>
      </x:c>
      <x:c r="I50" s="52" t="b">
        <x:v>0</x:v>
      </x:c>
      <x:c r="J50" s="27" t="n">
        <x:v>0</x:v>
      </x:c>
      <x:c r="K50" s="27" t="str">
        <x:v>official_issuer_description</x:v>
      </x:c>
      <x:c r="L50" s="27" t="str">
        <x:v>Honeywell Company</x:v>
      </x:c>
      <x:c r="M50" s="27" t="str">
        <x:v>https://www.honeywell.com/us/en/company</x:v>
      </x:c>
      <x:c r="N50" s="27" t="str">
        <x:v>SUPPLY_CHAIN_ROLE_SELECTED_NO_RETURN_SCREEN</x:v>
      </x:c>
      <x:c r="O50" s="55" t="str">
        <x:v>Issuer description is a current/reference snapshot and was not downloaded or hashed in this run; it cannot backfill historical membership.</x:v>
      </x:c>
    </x:row>
    <x:row r="51" ht="24" hidden="0" customHeight="1">
      <x:c r="A51" s="58" t="str">
        <x:v>ISRG.OQ</x:v>
      </x:c>
      <x:c r="B51" s="27" t="str">
        <x:v>Intuitive Surgical, Inc.</x:v>
      </x:c>
      <x:c r="C51" s="27" t="str">
        <x:v>robotics_autonomy</x:v>
      </x:c>
      <x:c r="D51" s="55" t="str">
        <x:v>Robotic surgical systems and related software supplier.</x:v>
      </x:c>
      <x:c r="E51" s="27" t="str">
        <x:v>2015-01-01</x:v>
      </x:c>
      <x:c r="F51" s="27" t="str">
        <x:v>2026-09-07</x:v>
      </x:c>
      <x:c r="G51" s="52" t="b">
        <x:v>0</x:v>
      </x:c>
      <x:c r="H51" s="27" t="str">
        <x:v>provisional_static_source</x:v>
      </x:c>
      <x:c r="I51" s="52" t="b">
        <x:v>0</x:v>
      </x:c>
      <x:c r="J51" s="27" t="n">
        <x:v>0</x:v>
      </x:c>
      <x:c r="K51" s="27" t="str">
        <x:v>official_issuer_description</x:v>
      </x:c>
      <x:c r="L51" s="27" t="str">
        <x:v>Intuitive About Us</x:v>
      </x:c>
      <x:c r="M51" s="27" t="str">
        <x:v>https://www.intuitive.com/en-us/about-us</x:v>
      </x:c>
      <x:c r="N51" s="27" t="str">
        <x:v>SUPPLY_CHAIN_ROLE_SELECTED_NO_RETURN_SCREEN</x:v>
      </x:c>
      <x:c r="O51" s="55" t="str">
        <x:v>Issuer description is a current/reference snapshot and was not downloaded or hashed in this run; it cannot backfill historical membership.</x:v>
      </x:c>
    </x:row>
    <x:row r="52" ht="24" hidden="0" customHeight="1">
      <x:c r="A52" s="58" t="str">
        <x:v>ZBRA.OQ</x:v>
      </x:c>
      <x:c r="B52" s="27" t="str">
        <x:v>Zebra Technologies Corporation</x:v>
      </x:c>
      <x:c r="C52" s="27" t="str">
        <x:v>robotics_autonomy</x:v>
      </x:c>
      <x:c r="D52" s="55" t="str">
        <x:v>Machine-vision, industrial automation and asset-intelligence systems supplier.</x:v>
      </x:c>
      <x:c r="E52" s="27" t="str">
        <x:v>2019-12-23</x:v>
      </x:c>
      <x:c r="F52" s="27" t="str">
        <x:v>2026-09-07</x:v>
      </x:c>
      <x:c r="G52" s="52" t="b">
        <x:v>0</x:v>
      </x:c>
      <x:c r="H52" s="27" t="str">
        <x:v>provisional_static_source</x:v>
      </x:c>
      <x:c r="I52" s="52" t="b">
        <x:v>0</x:v>
      </x:c>
      <x:c r="J52" s="27" t="n">
        <x:v>0</x:v>
      </x:c>
      <x:c r="K52" s="27" t="str">
        <x:v>official_issuer_description</x:v>
      </x:c>
      <x:c r="L52" s="27" t="str">
        <x:v>Zebra About Zebra</x:v>
      </x:c>
      <x:c r="M52" s="27" t="str">
        <x:v>https://www.zebra.com/us/en/about-zebra.html</x:v>
      </x:c>
      <x:c r="N52" s="27" t="str">
        <x:v>SUPPLY_CHAIN_ROLE_SELECTED_NO_RETURN_SCREEN</x:v>
      </x:c>
      <x:c r="O52" s="55" t="str">
        <x:v>Issuer description is a current/reference snapshot and was not downloaded or hashed in this run; it cannot backfill historical membership.</x:v>
      </x:c>
    </x:row>
    <x:row r="53" ht="24" hidden="0" customHeight="1">
      <x:c r="A53" s="58" t="str">
        <x:v>TRMB.OQ</x:v>
      </x:c>
      <x:c r="B53" s="27" t="str">
        <x:v>Trimble Inc.</x:v>
      </x:c>
      <x:c r="C53" s="27" t="str">
        <x:v>robotics_autonomy</x:v>
      </x:c>
      <x:c r="D53" s="55" t="str">
        <x:v>Autonomous positioning, machine control and industrial automation technology supplier.</x:v>
      </x:c>
      <x:c r="E53" s="27" t="str">
        <x:v>2021-01-21</x:v>
      </x:c>
      <x:c r="F53" s="27" t="str">
        <x:v>2026-09-07</x:v>
      </x:c>
      <x:c r="G53" s="52" t="b">
        <x:v>0</x:v>
      </x:c>
      <x:c r="H53" s="27" t="str">
        <x:v>provisional_static_source</x:v>
      </x:c>
      <x:c r="I53" s="52" t="b">
        <x:v>0</x:v>
      </x:c>
      <x:c r="J53" s="27" t="n">
        <x:v>0</x:v>
      </x:c>
      <x:c r="K53" s="27" t="str">
        <x:v>official_issuer_description</x:v>
      </x:c>
      <x:c r="L53" s="27" t="str">
        <x:v>Trimble About</x:v>
      </x:c>
      <x:c r="M53" s="27" t="str">
        <x:v>https://www.trimble.com/en/company/about</x:v>
      </x:c>
      <x:c r="N53" s="27" t="str">
        <x:v>SUPPLY_CHAIN_ROLE_SELECTED_NO_RETURN_SCREEN</x:v>
      </x:c>
      <x:c r="O53" s="55" t="str">
        <x:v>Issuer description is a current/reference snapshot and was not downloaded or hashed in this run; it cannot backfill historical membership.</x:v>
      </x:c>
    </x:row>
    <x:row r="54" ht="24" hidden="0" customHeight="1">
      <x:c r="A54" s="59" t="str">
        <x:v>APTV.N</x:v>
      </x:c>
      <x:c r="B54" s="28" t="str">
        <x:v>Aptiv PLC</x:v>
      </x:c>
      <x:c r="C54" s="28" t="str">
        <x:v>robotics_autonomy</x:v>
      </x:c>
      <x:c r="D54" s="56" t="str">
        <x:v>Advanced driver-assistance and autonomous vehicle electrical/software architecture supplier.</x:v>
      </x:c>
      <x:c r="E54" s="28" t="str">
        <x:v>2015-01-01</x:v>
      </x:c>
      <x:c r="F54" s="28" t="str">
        <x:v>2026-09-07</x:v>
      </x:c>
      <x:c r="G54" s="53" t="b">
        <x:v>0</x:v>
      </x:c>
      <x:c r="H54" s="28" t="str">
        <x:v>provisional_static_source</x:v>
      </x:c>
      <x:c r="I54" s="53" t="b">
        <x:v>0</x:v>
      </x:c>
      <x:c r="J54" s="28" t="n">
        <x:v>0</x:v>
      </x:c>
      <x:c r="K54" s="28" t="str">
        <x:v>official_issuer_description</x:v>
      </x:c>
      <x:c r="L54" s="28" t="str">
        <x:v>Aptiv About</x:v>
      </x:c>
      <x:c r="M54" s="28" t="str">
        <x:v>https://www.aptiv.com/en/about</x:v>
      </x:c>
      <x:c r="N54" s="28" t="str">
        <x:v>SUPPLY_CHAIN_ROLE_SELECTED_NO_RETURN_SCREEN</x:v>
      </x:c>
      <x:c r="O54" s="56" t="str">
        <x:v>Issuer description is a current/reference snapshot and was not downloaded or hashed in this run; it cannot backfill historical membership.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32" hidden="0" customWidth="1"/>
    <x:col min="4" max="4" width="32" hidden="0" customWidth="1"/>
    <x:col min="5" max="5" width="32" hidden="0" customWidth="1"/>
  </x:cols>
  <x:sheetData>
    <x:row r="2" ht="18" hidden="0" customHeight="1">
      <x:c r="A2" s="80" t="str">
        <x:v>Company Selection Logic and Evidence Quality</x:v>
      </x:c>
      <x:c r="B2" s="81"/>
      <x:c r="C2" s="81"/>
      <x:c r="D2" s="81"/>
      <x:c r="E2" s="81"/>
      <x:c r="F2" s="81"/>
    </x:row>
    <x:row r="3" ht="15" hidden="0" customHeight="1">
      <x:c r="A3" s="82" t="str">
        <x:v>BMF5360 | validation-only baseline package | test period remains sealed</x:v>
      </x:c>
      <x:c r="B3" s="79"/>
      <x:c r="C3" s="79"/>
      <x:c r="D3" s="79"/>
      <x:c r="E3" s="79"/>
      <x:c r="F3" s="79"/>
    </x:row>
    <x:row r="4" ht="15" hidden="0" customHeight="1">
      <x:c r="A4" s="79"/>
      <x:c r="B4" s="79"/>
      <x:c r="C4" s="79"/>
      <x:c r="D4" s="79"/>
      <x:c r="E4" s="79"/>
      <x:c r="F4" s="79"/>
    </x:row>
    <x:row r="5" ht="15" hidden="0" customHeight="1">
      <x:c r="A5" s="83" t="str">
        <x:v>Selection process</x:v>
      </x:c>
      <x:c r="B5" s="83"/>
      <x:c r="C5" s="83"/>
      <x:c r="D5" s="83"/>
      <x:c r="E5" s="83"/>
      <x:c r="F5" s="83"/>
    </x:row>
    <x:row r="6" ht="15" hidden="0" customHeight="1">
      <x:c r="A6" s="79"/>
      <x:c r="B6" s="79"/>
      <x:c r="C6" s="79"/>
      <x:c r="D6" s="79"/>
      <x:c r="E6" s="79"/>
      <x:c r="F6" s="79"/>
    </x:row>
    <x:row r="7" ht="15" hidden="0" customHeight="1">
      <x:c r="A7" s="22" t="str">
        <x:v>Step</x:v>
      </x:c>
      <x:c r="B7" s="47" t="str">
        <x:v>Rule</x:v>
      </x:c>
      <x:c r="C7" s="47" t="str">
        <x:v>Implementation</x:v>
      </x:c>
      <x:c r="D7" s="47" t="str">
        <x:v>Financial rationale</x:v>
      </x:c>
      <x:c r="E7" s="23" t="str">
        <x:v>Bias control</x:v>
      </x:c>
      <x:c r="F7" s="79"/>
    </x:row>
    <x:row r="8" ht="36" hidden="0" customHeight="1">
      <x:c r="A8" s="26" t="n">
        <x:v>1</x:v>
      </x:c>
      <x:c r="B8" s="54" t="str">
        <x:v>Define scope before looking at returns</x:v>
      </x:c>
      <x:c r="C8" s="54" t="str">
        <x:v>AI supply chain only; seven economic links from compute to deployment and physical infrastructure</x:v>
      </x:c>
      <x:c r="D8" s="54" t="str">
        <x:v>Keeps the investment universe economically coherent</x:v>
      </x:c>
      <x:c r="E8" s="54" t="str">
        <x:v>No return screen is used to add a company</x:v>
      </x:c>
      <x:c r="F8" s="79"/>
    </x:row>
    <x:row r="9" ht="24" hidden="0" customHeight="1">
      <x:c r="A9" s="27" t="n">
        <x:v>2</x:v>
      </x:c>
      <x:c r="B9" s="55" t="str">
        <x:v>Literal RIC must exist in the 781-RIC LSEG mother universe</x:v>
      </x:c>
      <x:c r="C9" s="55" t="str">
        <x:v>49/49 candidate RICs reconcile to the existing universe</x:v>
      </x:c>
      <x:c r="D9" s="55" t="str">
        <x:v>Provides price, return, quote and identifier lineage</x:v>
      </x:c>
      <x:c r="E9" s="55" t="str">
        <x:v>No ticker/name guessing</x:v>
      </x:c>
      <x:c r="F9" s="79"/>
    </x:row>
    <x:row r="10" ht="24" hidden="0" customHeight="1">
      <x:c r="A10" s="27" t="n">
        <x:v>3</x:v>
      </x:c>
      <x:c r="B10" s="55" t="str">
        <x:v>Assign exactly one primary group</x:v>
      </x:c>
      <x:c r="C10" s="55" t="str">
        <x:v>Secondary roles remain notes; caps use the primary group only</x:v>
      </x:c>
      <x:c r="D10" s="55" t="str">
        <x:v>Prevents double counting in sector constraints</x:v>
      </x:c>
      <x:c r="E10" s="55" t="str">
        <x:v>Group does not change after seeing model output</x:v>
      </x:c>
      <x:c r="F10" s="79"/>
    </x:row>
    <x:row r="11" ht="24" hidden="0" customHeight="1">
      <x:c r="A11" s="27" t="n">
        <x:v>4</x:v>
      </x:c>
      <x:c r="B11" s="55" t="str">
        <x:v>Preserve membership spans</x:v>
      </x:c>
      <x:c r="C11" s="55" t="str">
        <x:v>member_from/member_to determine date-level eligibility</x:v>
      </x:c>
      <x:c r="D11" s="55" t="str">
        <x:v>Avoids treating pre-listing dates as genuine missing observations</x:v>
      </x:c>
      <x:c r="E11" s="55" t="str">
        <x:v>Five later entrants remain recorded rather than deleted</x:v>
      </x:c>
      <x:c r="F11" s="79"/>
    </x:row>
    <x:row r="12" ht="24" hidden="0" customHeight="1">
      <x:c r="A12" s="27" t="n">
        <x:v>5</x:v>
      </x:c>
      <x:c r="B12" s="55" t="str">
        <x:v>Retain delisted securities</x:v>
      </x:c>
      <x:c r="C12" s="55" t="str">
        <x:v>JNPR.N^G25 and its history remain in registry/data</x:v>
      </x:c>
      <x:c r="D12" s="55" t="str">
        <x:v>Reduces survivorship bias</x:v>
      </x:c>
      <x:c r="E12" s="55" t="str">
        <x:v>Delisting alone is never an exclusion reason</x:v>
      </x:c>
      <x:c r="F12" s="79"/>
    </x:row>
    <x:row r="13" ht="24" hidden="0" customHeight="1">
      <x:c r="A13" s="28" t="n">
        <x:v>6</x:v>
      </x:c>
      <x:c r="B13" s="56" t="str">
        <x:v>Separate historical PIT evidence from static role evidence</x:v>
      </x:c>
      <x:c r="C13" s="56" t="str">
        <x:v>9 direct_local_pit; 40 provisional_static_source</x:v>
      </x:c>
      <x:c r="D13" s="56" t="str">
        <x:v>Makes the evidence quality visible</x:v>
      </x:c>
      <x:c r="E13" s="56" t="str">
        <x:v>Static descriptions are not presented as historical proof</x:v>
      </x:c>
      <x:c r="F13" s="79"/>
    </x:row>
    <x:row r="14" ht="15" hidden="0" customHeight="1">
      <x:c r="A14" s="79"/>
      <x:c r="B14" s="79"/>
      <x:c r="C14" s="79"/>
      <x:c r="D14" s="79"/>
      <x:c r="E14" s="79"/>
      <x:c r="F14" s="79"/>
    </x:row>
    <x:row r="15" ht="15" hidden="0" customHeight="1">
      <x:c r="A15" s="79"/>
      <x:c r="B15" s="79"/>
      <x:c r="C15" s="79"/>
      <x:c r="D15" s="79"/>
      <x:c r="E15" s="79"/>
      <x:c r="F15" s="79"/>
    </x:row>
    <x:row r="16" ht="15" hidden="0" customHeight="1">
      <x:c r="A16" s="83" t="str">
        <x:v>Seven supply-chain groups</x:v>
      </x:c>
      <x:c r="B16" s="83"/>
      <x:c r="C16" s="83"/>
      <x:c r="D16" s="83"/>
      <x:c r="E16" s="83"/>
      <x:c r="F16" s="83"/>
    </x:row>
    <x:row r="17" ht="15" hidden="0" customHeight="1">
      <x:c r="A17" s="79"/>
      <x:c r="B17" s="79"/>
      <x:c r="C17" s="79"/>
      <x:c r="D17" s="79"/>
      <x:c r="E17" s="79"/>
      <x:c r="F17" s="79"/>
    </x:row>
    <x:row r="18" ht="15" hidden="0" customHeight="1">
      <x:c r="A18" s="22" t="str">
        <x:v>Primary group</x:v>
      </x:c>
      <x:c r="B18" s="47" t="str">
        <x:v>Description</x:v>
      </x:c>
      <x:c r="C18" s="47" t="str">
        <x:v>Companies</x:v>
      </x:c>
      <x:c r="D18" s="47" t="str">
        <x:v>Direct local PIT</x:v>
      </x:c>
      <x:c r="E18" s="23" t="str">
        <x:v>Provisional static</x:v>
      </x:c>
      <x:c r="F18" s="79"/>
    </x:row>
    <x:row r="19" ht="15" hidden="0" customHeight="1">
      <x:c r="A19" s="26" t="str">
        <x:v>ai_semiconductor</x:v>
      </x:c>
      <x:c r="B19" s="26" t="str">
        <x:v>晶圆、EDA、模拟/功率/连接芯片与半导体设备</x:v>
      </x:c>
      <x:c r="C19" s="26" t="n">
        <x:v>6</x:v>
      </x:c>
      <x:c r="D19" s="26" t="n">
        <x:v>0</x:v>
      </x:c>
      <x:c r="E19" s="26" t="n">
        <x:v>6</x:v>
      </x:c>
      <x:c r="F19" s="79"/>
    </x:row>
    <x:row r="20" ht="15" hidden="0" customHeight="1">
      <x:c r="A20" s="27" t="str">
        <x:v>cloud_software</x:v>
      </x:c>
      <x:c r="B20" s="27" t="str">
        <x:v>云平台、数据库、企业软件和AI开发/部署工具</x:v>
      </x:c>
      <x:c r="C20" s="27" t="n">
        <x:v>10</x:v>
      </x:c>
      <x:c r="D20" s="27" t="n">
        <x:v>1</x:v>
      </x:c>
      <x:c r="E20" s="27" t="n">
        <x:v>9</x:v>
      </x:c>
      <x:c r="F20" s="79"/>
    </x:row>
    <x:row r="21" ht="15" hidden="0" customHeight="1">
      <x:c r="A21" s="27" t="str">
        <x:v>data_center_power_cooling</x:v>
      </x:c>
      <x:c r="B21" s="27" t="str">
        <x:v>数据中心供电、制冷、机房与基础设施</x:v>
      </x:c>
      <x:c r="C21" s="27" t="n">
        <x:v>9</x:v>
      </x:c>
      <x:c r="D21" s="27" t="n">
        <x:v>3</x:v>
      </x:c>
      <x:c r="E21" s="27" t="n">
        <x:v>6</x:v>
      </x:c>
      <x:c r="F21" s="79"/>
    </x:row>
    <x:row r="22" ht="15" hidden="0" customHeight="1">
      <x:c r="A22" s="27" t="str">
        <x:v>gpu_accelerator</x:v>
      </x:c>
      <x:c r="B22" s="27" t="str">
        <x:v>GPU、CPU、定制加速器与加速计算平台</x:v>
      </x:c>
      <x:c r="C22" s="27" t="n">
        <x:v>5</x:v>
      </x:c>
      <x:c r="D22" s="27" t="n">
        <x:v>2</x:v>
      </x:c>
      <x:c r="E22" s="27" t="n">
        <x:v>3</x:v>
      </x:c>
      <x:c r="F22" s="79"/>
    </x:row>
    <x:row r="23" ht="15" hidden="0" customHeight="1">
      <x:c r="A23" s="27" t="str">
        <x:v>memory_hbm_storage</x:v>
      </x:c>
      <x:c r="B23" s="27" t="str">
        <x:v>HBM、DRAM、NAND、硬盘与企业存储</x:v>
      </x:c>
      <x:c r="C23" s="27" t="n">
        <x:v>5</x:v>
      </x:c>
      <x:c r="D23" s="27" t="n">
        <x:v>1</x:v>
      </x:c>
      <x:c r="E23" s="27" t="n">
        <x:v>4</x:v>
      </x:c>
      <x:c r="F23" s="79"/>
    </x:row>
    <x:row r="24" ht="15" hidden="0" customHeight="1">
      <x:c r="A24" s="27" t="str">
        <x:v>robotics_autonomy</x:v>
      </x:c>
      <x:c r="B24" s="27" t="str">
        <x:v>工业自动化、机器人、视觉与自动驾驶</x:v>
      </x:c>
      <x:c r="C24" s="27" t="n">
        <x:v>8</x:v>
      </x:c>
      <x:c r="D24" s="27" t="n">
        <x:v>1</x:v>
      </x:c>
      <x:c r="E24" s="27" t="n">
        <x:v>7</x:v>
      </x:c>
      <x:c r="F24" s="79"/>
    </x:row>
    <x:row r="25" ht="15" hidden="0" customHeight="1">
      <x:c r="A25" s="28" t="str">
        <x:v>server_network</x:v>
      </x:c>
      <x:c r="B25" s="28" t="str">
        <x:v>AI服务器、交换机、光互联和数据基础设施</x:v>
      </x:c>
      <x:c r="C25" s="28" t="n">
        <x:v>6</x:v>
      </x:c>
      <x:c r="D25" s="28" t="n">
        <x:v>1</x:v>
      </x:c>
      <x:c r="E25" s="28" t="n">
        <x:v>5</x:v>
      </x:c>
      <x:c r="F25" s="79"/>
    </x:row>
    <x:row r="26" ht="15" hidden="0" customHeight="1">
      <x:c r="A26" s="83" t="str">
        <x:v>Total</x:v>
      </x:c>
      <x:c r="B26" s="83" t="str"/>
      <x:c r="C26" s="83" t="n">
        <x:f>SUM(C19:C25)</x:f>
        <x:v>49</x:v>
      </x:c>
      <x:c r="D26" s="83" t="n">
        <x:f>SUM(D19:D25)</x:f>
        <x:v>9</x:v>
      </x:c>
      <x:c r="E26" s="83" t="n">
        <x:f>SUM(E19:E25)</x:f>
        <x:v>40</x:v>
      </x:c>
      <x:c r="F26" s="7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22" hidden="0" customWidth="1"/>
    <x:col min="5" max="5" width="33" hidden="0" customWidth="1"/>
    <x:col min="6" max="6" width="20" hidden="0" customWidth="1"/>
    <x:col min="7" max="7" width="20" hidden="0" customWidth="1"/>
    <x:col min="8" max="8" width="43" hidden="0" customWidth="1"/>
    <x:col min="9" max="9" width="43" hidden="0" customWidth="1"/>
    <x:col min="10" max="10" width="43" hidden="0" customWidth="1"/>
  </x:cols>
  <x:sheetData>
    <x:row r="2" ht="18" hidden="0" customHeight="1">
      <x:c r="A2" s="80" t="str">
        <x:v>Technical and Macro Factor Dictionary</x:v>
      </x:c>
      <x:c r="B2" s="81"/>
      <x:c r="C2" s="81"/>
      <x:c r="D2" s="81"/>
      <x:c r="E2" s="81"/>
      <x:c r="F2" s="81"/>
      <x:c r="G2" s="81"/>
      <x:c r="H2" s="81"/>
      <x:c r="I2" s="81"/>
      <x:c r="J2" s="81"/>
    </x:row>
    <x:row r="3" ht="15" hidden="0" customHeight="1">
      <x:c r="A3" s="82" t="str">
        <x:v>BMF5360 | validation-only baseline package | test period remains sealed</x:v>
      </x:c>
      <x:c r="B3" s="79"/>
      <x:c r="C3" s="79"/>
      <x:c r="D3" s="79"/>
      <x:c r="E3" s="79"/>
      <x:c r="F3" s="79"/>
      <x:c r="G3" s="79"/>
      <x:c r="H3" s="79"/>
      <x:c r="I3" s="79"/>
      <x:c r="J3" s="79"/>
    </x:row>
    <x:row r="4" ht="15" hidden="0" customHeight="1">
      <x:c r="A4" s="79"/>
      <x:c r="B4" s="79"/>
      <x:c r="C4" s="79"/>
      <x:c r="D4" s="79"/>
      <x:c r="E4" s="79"/>
      <x:c r="F4" s="79"/>
      <x:c r="G4" s="79"/>
      <x:c r="H4" s="79"/>
      <x:c r="I4" s="79"/>
      <x:c r="J4" s="79"/>
    </x:row>
    <x:row r="5" ht="15" hidden="0" customHeight="1">
      <x:c r="A5" s="22" t="str">
        <x:v>Order</x:v>
      </x:c>
      <x:c r="B5" s="47" t="str">
        <x:v>Feature</x:v>
      </x:c>
      <x:c r="C5" s="47" t="str">
        <x:v>Included</x:v>
      </x:c>
      <x:c r="D5" s="47" t="str">
        <x:v>Category</x:v>
      </x:c>
      <x:c r="E5" s="47" t="str">
        <x:v>Source</x:v>
      </x:c>
      <x:c r="F5" s="47" t="str">
        <x:v>Lookback / status</x:v>
      </x:c>
      <x:c r="G5" s="47" t="str">
        <x:v>Unit</x:v>
      </x:c>
      <x:c r="H5" s="47" t="str">
        <x:v>Calculation</x:v>
      </x:c>
      <x:c r="I5" s="47" t="str">
        <x:v>Why included</x:v>
      </x:c>
      <x:c r="J5" s="23" t="str">
        <x:v>Timing / exclusion reason</x:v>
      </x:c>
    </x:row>
    <x:row r="6" ht="24" hidden="0" customHeight="1">
      <x:c r="A6" s="26" t="n">
        <x:v>1</x:v>
      </x:c>
      <x:c r="B6" s="57" t="str">
        <x:v>momentum_1</x:v>
      </x:c>
      <x:c r="C6" s="51" t="b">
        <x:v>1</x:v>
      </x:c>
      <x:c r="D6" s="54" t="str">
        <x:v>个股技术</x:v>
      </x:c>
      <x:c r="E6" s="54" t="str">
        <x:v>LSEG adjusted total return</x:v>
      </x:c>
      <x:c r="F6" s="54" t="str">
        <x:v>1 SPY sessions</x:v>
      </x:c>
      <x:c r="G6" s="54" t="str">
        <x:v>decimal return</x:v>
      </x:c>
      <x:c r="H6" s="54" t="str">
        <x:v>截至F-1的1日复合总收益</x:v>
      </x:c>
      <x:c r="I6" s="54" t="str">
        <x:v>刻画短期反转与中期趋势</x:v>
      </x:c>
      <x:c r="J6" s="54" t="str">
        <x:v>formation session F uses information available through F-1</x:v>
      </x:c>
    </x:row>
    <x:row r="7" ht="24" hidden="0" customHeight="1">
      <x:c r="A7" s="27" t="n">
        <x:v>2</x:v>
      </x:c>
      <x:c r="B7" s="58" t="str">
        <x:v>momentum_5</x:v>
      </x:c>
      <x:c r="C7" s="52" t="b">
        <x:v>1</x:v>
      </x:c>
      <x:c r="D7" s="55" t="str">
        <x:v>个股技术</x:v>
      </x:c>
      <x:c r="E7" s="55" t="str">
        <x:v>LSEG adjusted total return</x:v>
      </x:c>
      <x:c r="F7" s="55" t="str">
        <x:v>5 SPY sessions</x:v>
      </x:c>
      <x:c r="G7" s="55" t="str">
        <x:v>decimal return</x:v>
      </x:c>
      <x:c r="H7" s="55" t="str">
        <x:v>截至F-1的5日复合总收益</x:v>
      </x:c>
      <x:c r="I7" s="55" t="str">
        <x:v>刻画短期反转与中期趋势</x:v>
      </x:c>
      <x:c r="J7" s="55" t="str">
        <x:v>formation session F uses information available through F-1</x:v>
      </x:c>
    </x:row>
    <x:row r="8" ht="24" hidden="0" customHeight="1">
      <x:c r="A8" s="27" t="n">
        <x:v>3</x:v>
      </x:c>
      <x:c r="B8" s="58" t="str">
        <x:v>momentum_20</x:v>
      </x:c>
      <x:c r="C8" s="52" t="b">
        <x:v>1</x:v>
      </x:c>
      <x:c r="D8" s="55" t="str">
        <x:v>个股技术</x:v>
      </x:c>
      <x:c r="E8" s="55" t="str">
        <x:v>LSEG adjusted total return</x:v>
      </x:c>
      <x:c r="F8" s="55" t="str">
        <x:v>20 SPY sessions</x:v>
      </x:c>
      <x:c r="G8" s="55" t="str">
        <x:v>decimal return</x:v>
      </x:c>
      <x:c r="H8" s="55" t="str">
        <x:v>截至F-1的20日复合总收益</x:v>
      </x:c>
      <x:c r="I8" s="55" t="str">
        <x:v>刻画短期反转与中期趋势</x:v>
      </x:c>
      <x:c r="J8" s="55" t="str">
        <x:v>formation session F uses information available through F-1</x:v>
      </x:c>
    </x:row>
    <x:row r="9" ht="24" hidden="0" customHeight="1">
      <x:c r="A9" s="27" t="n">
        <x:v>4</x:v>
      </x:c>
      <x:c r="B9" s="58" t="str">
        <x:v>momentum_60</x:v>
      </x:c>
      <x:c r="C9" s="52" t="b">
        <x:v>1</x:v>
      </x:c>
      <x:c r="D9" s="55" t="str">
        <x:v>个股技术</x:v>
      </x:c>
      <x:c r="E9" s="55" t="str">
        <x:v>LSEG adjusted total return</x:v>
      </x:c>
      <x:c r="F9" s="55" t="str">
        <x:v>60 SPY sessions</x:v>
      </x:c>
      <x:c r="G9" s="55" t="str">
        <x:v>decimal return</x:v>
      </x:c>
      <x:c r="H9" s="55" t="str">
        <x:v>截至F-1的60日复合总收益</x:v>
      </x:c>
      <x:c r="I9" s="55" t="str">
        <x:v>刻画短期反转与中期趋势</x:v>
      </x:c>
      <x:c r="J9" s="55" t="str">
        <x:v>formation session F uses information available through F-1</x:v>
      </x:c>
    </x:row>
    <x:row r="10" ht="24" hidden="0" customHeight="1">
      <x:c r="A10" s="27" t="n">
        <x:v>5</x:v>
      </x:c>
      <x:c r="B10" s="58" t="str">
        <x:v>volatility_20_ann</x:v>
      </x:c>
      <x:c r="C10" s="52" t="b">
        <x:v>1</x:v>
      </x:c>
      <x:c r="D10" s="55" t="str">
        <x:v>个股风险</x:v>
      </x:c>
      <x:c r="E10" s="55" t="str">
        <x:v>LSEG adjusted total return</x:v>
      </x:c>
      <x:c r="F10" s="55" t="str">
        <x:v>20 SPY sessions</x:v>
      </x:c>
      <x:c r="G10" s="55" t="str">
        <x:v>annualized decimal</x:v>
      </x:c>
      <x:c r="H10" s="55" t="str">
        <x:v>20日收益标准差×sqrt(252)</x:v>
      </x:c>
      <x:c r="I10" s="55" t="str">
        <x:v>控制个股风险状态</x:v>
      </x:c>
      <x:c r="J10" s="55" t="str">
        <x:v>formation session F uses information available through F-1</x:v>
      </x:c>
    </x:row>
    <x:row r="11" ht="24" hidden="0" customHeight="1">
      <x:c r="A11" s="27" t="n">
        <x:v>6</x:v>
      </x:c>
      <x:c r="B11" s="58" t="str">
        <x:v>volatility_60_ann</x:v>
      </x:c>
      <x:c r="C11" s="52" t="b">
        <x:v>1</x:v>
      </x:c>
      <x:c r="D11" s="55" t="str">
        <x:v>个股风险</x:v>
      </x:c>
      <x:c r="E11" s="55" t="str">
        <x:v>LSEG adjusted total return</x:v>
      </x:c>
      <x:c r="F11" s="55" t="str">
        <x:v>60 SPY sessions</x:v>
      </x:c>
      <x:c r="G11" s="55" t="str">
        <x:v>annualized decimal</x:v>
      </x:c>
      <x:c r="H11" s="55" t="str">
        <x:v>60日收益标准差×sqrt(252)</x:v>
      </x:c>
      <x:c r="I11" s="55" t="str">
        <x:v>控制个股风险状态</x:v>
      </x:c>
      <x:c r="J11" s="55" t="str">
        <x:v>formation session F uses information available through F-1</x:v>
      </x:c>
    </x:row>
    <x:row r="12" ht="24" hidden="0" customHeight="1">
      <x:c r="A12" s="27" t="n">
        <x:v>7</x:v>
      </x:c>
      <x:c r="B12" s="58" t="str">
        <x:v>volume_median_20_log1p</x:v>
      </x:c>
      <x:c r="C12" s="52" t="b">
        <x:v>1</x:v>
      </x:c>
      <x:c r="D12" s="55" t="str">
        <x:v>个股流动性</x:v>
      </x:c>
      <x:c r="E12" s="55" t="str">
        <x:v>LSEG ACVOL_UNS</x:v>
      </x:c>
      <x:c r="F12" s="55" t="str">
        <x:v>20 SPY sessions</x:v>
      </x:c>
      <x:c r="G12" s="55" t="str">
        <x:v>log1p(volume)</x:v>
      </x:c>
      <x:c r="H12" s="55" t="str">
        <x:v>先log1p，再取20日滚动中位数</x:v>
      </x:c>
      <x:c r="I12" s="55" t="str">
        <x:v>衡量交易活跃度并降低规模偏态</x:v>
      </x:c>
      <x:c r="J12" s="55" t="str">
        <x:v>formation session F uses information available through F-1</x:v>
      </x:c>
    </x:row>
    <x:row r="13" ht="24" hidden="0" customHeight="1">
      <x:c r="A13" s="27" t="n">
        <x:v>8</x:v>
      </x:c>
      <x:c r="B13" s="58" t="str">
        <x:v>volume_median_60_log1p</x:v>
      </x:c>
      <x:c r="C13" s="52" t="b">
        <x:v>1</x:v>
      </x:c>
      <x:c r="D13" s="55" t="str">
        <x:v>个股流动性</x:v>
      </x:c>
      <x:c r="E13" s="55" t="str">
        <x:v>LSEG ACVOL_UNS</x:v>
      </x:c>
      <x:c r="F13" s="55" t="str">
        <x:v>60 SPY sessions</x:v>
      </x:c>
      <x:c r="G13" s="55" t="str">
        <x:v>log1p(volume)</x:v>
      </x:c>
      <x:c r="H13" s="55" t="str">
        <x:v>先log1p，再取60日滚动中位数</x:v>
      </x:c>
      <x:c r="I13" s="55" t="str">
        <x:v>衡量交易活跃度并降低规模偏态</x:v>
      </x:c>
      <x:c r="J13" s="55" t="str">
        <x:v>formation session F uses information available through F-1</x:v>
      </x:c>
    </x:row>
    <x:row r="14" ht="24" hidden="0" customHeight="1">
      <x:c r="A14" s="27" t="n">
        <x:v>9</x:v>
      </x:c>
      <x:c r="B14" s="58" t="str">
        <x:v>dollar_volume_median_20_log1p</x:v>
      </x:c>
      <x:c r="C14" s="52" t="b">
        <x:v>1</x:v>
      </x:c>
      <x:c r="D14" s="55" t="str">
        <x:v>个股流动性</x:v>
      </x:c>
      <x:c r="E14" s="55" t="str">
        <x:v>LSEG turnover or adjusted close × volume</x:v>
      </x:c>
      <x:c r="F14" s="55" t="str">
        <x:v>20 SPY sessions</x:v>
      </x:c>
      <x:c r="G14" s="55" t="str">
        <x:v>log1p(USD)</x:v>
      </x:c>
      <x:c r="H14" s="55" t="str">
        <x:v>先log1p，再取20日滚动中位数</x:v>
      </x:c>
      <x:c r="I14" s="55" t="str">
        <x:v>衡量资金容量和可交易性</x:v>
      </x:c>
      <x:c r="J14" s="55" t="str">
        <x:v>formation session F uses information available through F-1</x:v>
      </x:c>
    </x:row>
    <x:row r="15" ht="24" hidden="0" customHeight="1">
      <x:c r="A15" s="27" t="n">
        <x:v>10</x:v>
      </x:c>
      <x:c r="B15" s="58" t="str">
        <x:v>dollar_volume_median_60_log1p</x:v>
      </x:c>
      <x:c r="C15" s="52" t="b">
        <x:v>1</x:v>
      </x:c>
      <x:c r="D15" s="55" t="str">
        <x:v>个股流动性</x:v>
      </x:c>
      <x:c r="E15" s="55" t="str">
        <x:v>LSEG turnover or adjusted close × volume</x:v>
      </x:c>
      <x:c r="F15" s="55" t="str">
        <x:v>60 SPY sessions</x:v>
      </x:c>
      <x:c r="G15" s="55" t="str">
        <x:v>log1p(USD)</x:v>
      </x:c>
      <x:c r="H15" s="55" t="str">
        <x:v>先log1p，再取60日滚动中位数</x:v>
      </x:c>
      <x:c r="I15" s="55" t="str">
        <x:v>衡量资金容量和可交易性</x:v>
      </x:c>
      <x:c r="J15" s="55" t="str">
        <x:v>formation session F uses information available through F-1</x:v>
      </x:c>
    </x:row>
    <x:row r="16" ht="24" hidden="0" customHeight="1">
      <x:c r="A16" s="27" t="n">
        <x:v>11</x:v>
      </x:c>
      <x:c r="B16" s="58" t="str">
        <x:v>spread_median_20_bps</x:v>
      </x:c>
      <x:c r="C16" s="52" t="b">
        <x:v>1</x:v>
      </x:c>
      <x:c r="D16" s="55" t="str">
        <x:v>交易成本</x:v>
      </x:c>
      <x:c r="E16" s="55" t="str">
        <x:v>LSEG BID/ASK</x:v>
      </x:c>
      <x:c r="F16" s="55" t="str">
        <x:v>20 SPY sessions</x:v>
      </x:c>
      <x:c r="G16" s="55" t="str">
        <x:v>basis points</x:v>
      </x:c>
      <x:c r="H16" s="55" t="str">
        <x:v>完整报价价差的20日中位数</x:v>
      </x:c>
      <x:c r="I16" s="55" t="str">
        <x:v>控制流动性与潜在交易成本</x:v>
      </x:c>
      <x:c r="J16" s="55" t="str">
        <x:v>formation session F uses information available through F-1</x:v>
      </x:c>
    </x:row>
    <x:row r="17" ht="24" hidden="0" customHeight="1">
      <x:c r="A17" s="27" t="n">
        <x:v>12</x:v>
      </x:c>
      <x:c r="B17" s="58" t="str">
        <x:v>spread_median_60_bps</x:v>
      </x:c>
      <x:c r="C17" s="52" t="b">
        <x:v>1</x:v>
      </x:c>
      <x:c r="D17" s="55" t="str">
        <x:v>交易成本</x:v>
      </x:c>
      <x:c r="E17" s="55" t="str">
        <x:v>LSEG BID/ASK</x:v>
      </x:c>
      <x:c r="F17" s="55" t="str">
        <x:v>60 SPY sessions</x:v>
      </x:c>
      <x:c r="G17" s="55" t="str">
        <x:v>basis points</x:v>
      </x:c>
      <x:c r="H17" s="55" t="str">
        <x:v>完整报价价差的60日中位数</x:v>
      </x:c>
      <x:c r="I17" s="55" t="str">
        <x:v>控制流动性与潜在交易成本</x:v>
      </x:c>
      <x:c r="J17" s="55" t="str">
        <x:v>formation session F uses information available through F-1</x:v>
      </x:c>
    </x:row>
    <x:row r="18" ht="24" hidden="0" customHeight="1">
      <x:c r="A18" s="27" t="n">
        <x:v>13</x:v>
      </x:c>
      <x:c r="B18" s="58" t="str">
        <x:v>beta_126</x:v>
      </x:c>
      <x:c r="C18" s="52" t="b">
        <x:v>1</x:v>
      </x:c>
      <x:c r="D18" s="55" t="str">
        <x:v>个股风险</x:v>
      </x:c>
      <x:c r="E18" s="55" t="str">
        <x:v>LSEG stock returns + SPY</x:v>
      </x:c>
      <x:c r="F18" s="55" t="str">
        <x:v>126 sessions; min 100</x:v>
      </x:c>
      <x:c r="G18" s="55" t="str">
        <x:v>beta</x:v>
      </x:c>
      <x:c r="H18" s="55" t="str">
        <x:v>滚动协方差/市场方差</x:v>
      </x:c>
      <x:c r="I18" s="55" t="str">
        <x:v>控制市场敏感度</x:v>
      </x:c>
      <x:c r="J18" s="55" t="str">
        <x:v>formation session F uses information available through F-1</x:v>
      </x:c>
    </x:row>
    <x:row r="19" ht="24" hidden="0" customHeight="1">
      <x:c r="A19" s="27" t="n">
        <x:v>14</x:v>
      </x:c>
      <x:c r="B19" s="58" t="str">
        <x:v>idio_vol_126_ann</x:v>
      </x:c>
      <x:c r="C19" s="52" t="b">
        <x:v>1</x:v>
      </x:c>
      <x:c r="D19" s="55" t="str">
        <x:v>个股风险</x:v>
      </x:c>
      <x:c r="E19" s="55" t="str">
        <x:v>LSEG stock returns + SPY</x:v>
      </x:c>
      <x:c r="F19" s="55" t="str">
        <x:v>126 sessions; min 100</x:v>
      </x:c>
      <x:c r="G19" s="55" t="str">
        <x:v>annualized decimal</x:v>
      </x:c>
      <x:c r="H19" s="55" t="str">
        <x:v>市场模型残差波动率×sqrt(252)</x:v>
      </x:c>
      <x:c r="I19" s="55" t="str">
        <x:v>控制公司特有风险</x:v>
      </x:c>
      <x:c r="J19" s="55" t="str">
        <x:v>formation session F uses information available through F-1</x:v>
      </x:c>
    </x:row>
    <x:row r="20" ht="24" hidden="0" customHeight="1">
      <x:c r="A20" s="27" t="n">
        <x:v>15</x:v>
      </x:c>
      <x:c r="B20" s="58" t="str">
        <x:v>beta_obs_126</x:v>
      </x:c>
      <x:c r="C20" s="52" t="b">
        <x:v>1</x:v>
      </x:c>
      <x:c r="D20" s="55" t="str">
        <x:v>数据质量</x:v>
      </x:c>
      <x:c r="E20" s="55" t="str">
        <x:v>LSEG stock returns + SPY</x:v>
      </x:c>
      <x:c r="F20" s="55" t="str">
        <x:v>126 sessions</x:v>
      </x:c>
      <x:c r="G20" s="55" t="str">
        <x:v>count</x:v>
      </x:c>
      <x:c r="H20" s="55" t="str">
        <x:v>beta估计的有效共同观察数</x:v>
      </x:c>
      <x:c r="I20" s="55" t="str">
        <x:v>防止用过短历史估计风险</x:v>
      </x:c>
      <x:c r="J20" s="55" t="str">
        <x:v>formation session F uses information available through F-1</x:v>
      </x:c>
    </x:row>
    <x:row r="21" ht="24" hidden="0" customHeight="1">
      <x:c r="A21" s="27" t="n">
        <x:v>16</x:v>
      </x:c>
      <x:c r="B21" s="58" t="str">
        <x:v>spy_momentum_1</x:v>
      </x:c>
      <x:c r="C21" s="52" t="b">
        <x:v>1</x:v>
      </x:c>
      <x:c r="D21" s="55" t="str">
        <x:v>市场状态</x:v>
      </x:c>
      <x:c r="E21" s="55" t="str">
        <x:v>LSEG SPY total return</x:v>
      </x:c>
      <x:c r="F21" s="55" t="str">
        <x:v>1 SPY sessions</x:v>
      </x:c>
      <x:c r="G21" s="55" t="str">
        <x:v>decimal return</x:v>
      </x:c>
      <x:c r="H21" s="55" t="str">
        <x:v>截至F-1的SPY 1日复合收益</x:v>
      </x:c>
      <x:c r="I21" s="55" t="str">
        <x:v>控制总体市场趋势</x:v>
      </x:c>
      <x:c r="J21" s="55" t="str">
        <x:v>formation session F uses information available through F-1</x:v>
      </x:c>
    </x:row>
    <x:row r="22" ht="24" hidden="0" customHeight="1">
      <x:c r="A22" s="27" t="n">
        <x:v>17</x:v>
      </x:c>
      <x:c r="B22" s="58" t="str">
        <x:v>spy_momentum_5</x:v>
      </x:c>
      <x:c r="C22" s="52" t="b">
        <x:v>1</x:v>
      </x:c>
      <x:c r="D22" s="55" t="str">
        <x:v>市场状态</x:v>
      </x:c>
      <x:c r="E22" s="55" t="str">
        <x:v>LSEG SPY total return</x:v>
      </x:c>
      <x:c r="F22" s="55" t="str">
        <x:v>5 SPY sessions</x:v>
      </x:c>
      <x:c r="G22" s="55" t="str">
        <x:v>decimal return</x:v>
      </x:c>
      <x:c r="H22" s="55" t="str">
        <x:v>截至F-1的SPY 5日复合收益</x:v>
      </x:c>
      <x:c r="I22" s="55" t="str">
        <x:v>控制总体市场趋势</x:v>
      </x:c>
      <x:c r="J22" s="55" t="str">
        <x:v>formation session F uses information available through F-1</x:v>
      </x:c>
    </x:row>
    <x:row r="23" ht="24" hidden="0" customHeight="1">
      <x:c r="A23" s="27" t="n">
        <x:v>18</x:v>
      </x:c>
      <x:c r="B23" s="58" t="str">
        <x:v>spy_momentum_20</x:v>
      </x:c>
      <x:c r="C23" s="52" t="b">
        <x:v>1</x:v>
      </x:c>
      <x:c r="D23" s="55" t="str">
        <x:v>市场状态</x:v>
      </x:c>
      <x:c r="E23" s="55" t="str">
        <x:v>LSEG SPY total return</x:v>
      </x:c>
      <x:c r="F23" s="55" t="str">
        <x:v>20 SPY sessions</x:v>
      </x:c>
      <x:c r="G23" s="55" t="str">
        <x:v>decimal return</x:v>
      </x:c>
      <x:c r="H23" s="55" t="str">
        <x:v>截至F-1的SPY 20日复合收益</x:v>
      </x:c>
      <x:c r="I23" s="55" t="str">
        <x:v>控制总体市场趋势</x:v>
      </x:c>
      <x:c r="J23" s="55" t="str">
        <x:v>formation session F uses information available through F-1</x:v>
      </x:c>
    </x:row>
    <x:row r="24" ht="24" hidden="0" customHeight="1">
      <x:c r="A24" s="27" t="n">
        <x:v>19</x:v>
      </x:c>
      <x:c r="B24" s="58" t="str">
        <x:v>spy_momentum_60</x:v>
      </x:c>
      <x:c r="C24" s="52" t="b">
        <x:v>1</x:v>
      </x:c>
      <x:c r="D24" s="55" t="str">
        <x:v>市场状态</x:v>
      </x:c>
      <x:c r="E24" s="55" t="str">
        <x:v>LSEG SPY total return</x:v>
      </x:c>
      <x:c r="F24" s="55" t="str">
        <x:v>60 SPY sessions</x:v>
      </x:c>
      <x:c r="G24" s="55" t="str">
        <x:v>decimal return</x:v>
      </x:c>
      <x:c r="H24" s="55" t="str">
        <x:v>截至F-1的SPY 60日复合收益</x:v>
      </x:c>
      <x:c r="I24" s="55" t="str">
        <x:v>控制总体市场趋势</x:v>
      </x:c>
      <x:c r="J24" s="55" t="str">
        <x:v>formation session F uses information available through F-1</x:v>
      </x:c>
    </x:row>
    <x:row r="25" ht="24" hidden="0" customHeight="1">
      <x:c r="A25" s="27" t="n">
        <x:v>20</x:v>
      </x:c>
      <x:c r="B25" s="58" t="str">
        <x:v>spy_volatility_20_ann</x:v>
      </x:c>
      <x:c r="C25" s="52" t="b">
        <x:v>1</x:v>
      </x:c>
      <x:c r="D25" s="55" t="str">
        <x:v>市场状态</x:v>
      </x:c>
      <x:c r="E25" s="55" t="str">
        <x:v>LSEG SPY total return</x:v>
      </x:c>
      <x:c r="F25" s="55" t="str">
        <x:v>20 SPY sessions</x:v>
      </x:c>
      <x:c r="G25" s="55" t="str">
        <x:v>annualized decimal</x:v>
      </x:c>
      <x:c r="H25" s="55" t="str">
        <x:v>SPY 20日收益标准差×sqrt(252)</x:v>
      </x:c>
      <x:c r="I25" s="55" t="str">
        <x:v>控制市场风险环境</x:v>
      </x:c>
      <x:c r="J25" s="55" t="str">
        <x:v>formation session F uses information available through F-1</x:v>
      </x:c>
    </x:row>
    <x:row r="26" ht="24" hidden="0" customHeight="1">
      <x:c r="A26" s="27" t="n">
        <x:v>21</x:v>
      </x:c>
      <x:c r="B26" s="58" t="str">
        <x:v>spy_volatility_60_ann</x:v>
      </x:c>
      <x:c r="C26" s="52" t="b">
        <x:v>1</x:v>
      </x:c>
      <x:c r="D26" s="55" t="str">
        <x:v>市场状态</x:v>
      </x:c>
      <x:c r="E26" s="55" t="str">
        <x:v>LSEG SPY total return</x:v>
      </x:c>
      <x:c r="F26" s="55" t="str">
        <x:v>60 SPY sessions</x:v>
      </x:c>
      <x:c r="G26" s="55" t="str">
        <x:v>annualized decimal</x:v>
      </x:c>
      <x:c r="H26" s="55" t="str">
        <x:v>SPY 60日收益标准差×sqrt(252)</x:v>
      </x:c>
      <x:c r="I26" s="55" t="str">
        <x:v>控制市场风险环境</x:v>
      </x:c>
      <x:c r="J26" s="55" t="str">
        <x:v>formation session F uses information available through F-1</x:v>
      </x:c>
    </x:row>
    <x:row r="27" ht="24" hidden="0" customHeight="1">
      <x:c r="A27" s="27" t="n">
        <x:v>22</x:v>
      </x:c>
      <x:c r="B27" s="58" t="str">
        <x:v>vix_level</x:v>
      </x:c>
      <x:c r="C27" s="52" t="b">
        <x:v>1</x:v>
      </x:c>
      <x:c r="D27" s="55" t="str">
        <x:v>宏观：风险情绪</x:v>
      </x:c>
      <x:c r="E27" s="55" t="str">
        <x:v>FRED VIXCLS</x:v>
      </x:c>
      <x:c r="F27" s="55" t="str">
        <x:v>level at F-1</x:v>
      </x:c>
      <x:c r="G27" s="55" t="str">
        <x:v>source native units</x:v>
      </x:c>
      <x:c r="H27" s="55" t="str">
        <x:v>lagged carried level</x:v>
      </x:c>
      <x:c r="I27" s="55" t="str">
        <x:v>控制市场恐慌和风险偏好</x:v>
      </x:c>
      <x:c r="J27" s="55" t="str">
        <x:v>formation session F uses information available through F-1</x:v>
      </x:c>
    </x:row>
    <x:row r="28" ht="24" hidden="0" customHeight="1">
      <x:c r="A28" s="27" t="n">
        <x:v>23</x:v>
      </x:c>
      <x:c r="B28" s="58" t="str">
        <x:v>vix_change_1d</x:v>
      </x:c>
      <x:c r="C28" s="52" t="b">
        <x:v>1</x:v>
      </x:c>
      <x:c r="D28" s="55" t="str">
        <x:v>宏观：风险情绪</x:v>
      </x:c>
      <x:c r="E28" s="55" t="str">
        <x:v>FRED VIXCLS</x:v>
      </x:c>
      <x:c r="F28" s="55" t="str">
        <x:v>1 SPY sessions</x:v>
      </x:c>
      <x:c r="G28" s="55" t="str">
        <x:v>source native units</x:v>
      </x:c>
      <x:c r="H28" s="55" t="str">
        <x:v>current lagged carried level minus 1 SPY sessions prior</x:v>
      </x:c>
      <x:c r="I28" s="55" t="str">
        <x:v>控制市场恐慌和风险偏好</x:v>
      </x:c>
      <x:c r="J28" s="55" t="str">
        <x:v>formation session F uses information available through F-1</x:v>
      </x:c>
    </x:row>
    <x:row r="29" ht="24" hidden="0" customHeight="1">
      <x:c r="A29" s="27" t="n">
        <x:v>24</x:v>
      </x:c>
      <x:c r="B29" s="58" t="str">
        <x:v>vix_change_5d</x:v>
      </x:c>
      <x:c r="C29" s="52" t="b">
        <x:v>1</x:v>
      </x:c>
      <x:c r="D29" s="55" t="str">
        <x:v>宏观：风险情绪</x:v>
      </x:c>
      <x:c r="E29" s="55" t="str">
        <x:v>FRED VIXCLS</x:v>
      </x:c>
      <x:c r="F29" s="55" t="str">
        <x:v>5 SPY sessions</x:v>
      </x:c>
      <x:c r="G29" s="55" t="str">
        <x:v>source native units</x:v>
      </x:c>
      <x:c r="H29" s="55" t="str">
        <x:v>current lagged carried level minus 5 SPY sessions prior</x:v>
      </x:c>
      <x:c r="I29" s="55" t="str">
        <x:v>控制市场恐慌和风险偏好</x:v>
      </x:c>
      <x:c r="J29" s="55" t="str">
        <x:v>formation session F uses information available through F-1</x:v>
      </x:c>
    </x:row>
    <x:row r="30" ht="24" hidden="0" customHeight="1">
      <x:c r="A30" s="27" t="n">
        <x:v>25</x:v>
      </x:c>
      <x:c r="B30" s="58" t="str">
        <x:v>vix_change_20d</x:v>
      </x:c>
      <x:c r="C30" s="52" t="b">
        <x:v>1</x:v>
      </x:c>
      <x:c r="D30" s="55" t="str">
        <x:v>宏观：风险情绪</x:v>
      </x:c>
      <x:c r="E30" s="55" t="str">
        <x:v>FRED VIXCLS</x:v>
      </x:c>
      <x:c r="F30" s="55" t="str">
        <x:v>20 SPY sessions</x:v>
      </x:c>
      <x:c r="G30" s="55" t="str">
        <x:v>source native units</x:v>
      </x:c>
      <x:c r="H30" s="55" t="str">
        <x:v>current lagged carried level minus 20 SPY sessions prior</x:v>
      </x:c>
      <x:c r="I30" s="55" t="str">
        <x:v>控制市场恐慌和风险偏好</x:v>
      </x:c>
      <x:c r="J30" s="55" t="str">
        <x:v>formation session F uses information available through F-1</x:v>
      </x:c>
    </x:row>
    <x:row r="31" ht="24" hidden="0" customHeight="1">
      <x:c r="A31" s="27" t="n">
        <x:v>26</x:v>
      </x:c>
      <x:c r="B31" s="58" t="str">
        <x:v>vix_percentile_252d</x:v>
      </x:c>
      <x:c r="C31" s="52" t="b">
        <x:v>1</x:v>
      </x:c>
      <x:c r="D31" s="55" t="str">
        <x:v>宏观：风险情绪</x:v>
      </x:c>
      <x:c r="E31" s="55" t="str">
        <x:v>FRED VIXCLS</x:v>
      </x:c>
      <x:c r="F31" s="55" t="str">
        <x:v>252 SPY sessions</x:v>
      </x:c>
      <x:c r="G31" s="55" t="str">
        <x:v>0-1 rank</x:v>
      </x:c>
      <x:c r="H31" s="55" t="str">
        <x:v>252-session rolling percentile rank including current lagged value</x:v>
      </x:c>
      <x:c r="I31" s="55" t="str">
        <x:v>控制市场恐慌和风险偏好</x:v>
      </x:c>
      <x:c r="J31" s="55" t="str">
        <x:v>formation session F uses information available through F-1</x:v>
      </x:c>
    </x:row>
    <x:row r="32" ht="24" hidden="0" customHeight="1">
      <x:c r="A32" s="27" t="n">
        <x:v>27</x:v>
      </x:c>
      <x:c r="B32" s="58" t="str">
        <x:v>dgs3mo_level</x:v>
      </x:c>
      <x:c r="C32" s="52" t="b">
        <x:v>1</x:v>
      </x:c>
      <x:c r="D32" s="55" t="str">
        <x:v>宏观：利率</x:v>
      </x:c>
      <x:c r="E32" s="55" t="str">
        <x:v>FRED DGS3MO</x:v>
      </x:c>
      <x:c r="F32" s="55" t="str">
        <x:v>level at F-1</x:v>
      </x:c>
      <x:c r="G32" s="55" t="str">
        <x:v>source native units</x:v>
      </x:c>
      <x:c r="H32" s="55" t="str">
        <x:v>lagged carried level</x:v>
      </x:c>
      <x:c r="I32" s="55" t="str">
        <x:v>控制贴现率、融资环境和期限结构</x:v>
      </x:c>
      <x:c r="J32" s="55" t="str">
        <x:v>formation session F uses information available through F-1</x:v>
      </x:c>
    </x:row>
    <x:row r="33" ht="24" hidden="0" customHeight="1">
      <x:c r="A33" s="27" t="n">
        <x:v>28</x:v>
      </x:c>
      <x:c r="B33" s="58" t="str">
        <x:v>dgs3mo_change_5d</x:v>
      </x:c>
      <x:c r="C33" s="52" t="b">
        <x:v>1</x:v>
      </x:c>
      <x:c r="D33" s="55" t="str">
        <x:v>宏观：利率</x:v>
      </x:c>
      <x:c r="E33" s="55" t="str">
        <x:v>FRED DGS3MO</x:v>
      </x:c>
      <x:c r="F33" s="55" t="str">
        <x:v>5 SPY sessions</x:v>
      </x:c>
      <x:c r="G33" s="55" t="str">
        <x:v>source native units</x:v>
      </x:c>
      <x:c r="H33" s="55" t="str">
        <x:v>current lagged carried level minus 5 SPY sessions prior</x:v>
      </x:c>
      <x:c r="I33" s="55" t="str">
        <x:v>控制贴现率、融资环境和期限结构</x:v>
      </x:c>
      <x:c r="J33" s="55" t="str">
        <x:v>formation session F uses information available through F-1</x:v>
      </x:c>
    </x:row>
    <x:row r="34" ht="24" hidden="0" customHeight="1">
      <x:c r="A34" s="27" t="n">
        <x:v>29</x:v>
      </x:c>
      <x:c r="B34" s="58" t="str">
        <x:v>dgs3mo_change_20d</x:v>
      </x:c>
      <x:c r="C34" s="52" t="b">
        <x:v>1</x:v>
      </x:c>
      <x:c r="D34" s="55" t="str">
        <x:v>宏观：利率</x:v>
      </x:c>
      <x:c r="E34" s="55" t="str">
        <x:v>FRED DGS3MO</x:v>
      </x:c>
      <x:c r="F34" s="55" t="str">
        <x:v>20 SPY sessions</x:v>
      </x:c>
      <x:c r="G34" s="55" t="str">
        <x:v>source native units</x:v>
      </x:c>
      <x:c r="H34" s="55" t="str">
        <x:v>current lagged carried level minus 20 SPY sessions prior</x:v>
      </x:c>
      <x:c r="I34" s="55" t="str">
        <x:v>控制贴现率、融资环境和期限结构</x:v>
      </x:c>
      <x:c r="J34" s="55" t="str">
        <x:v>formation session F uses information available through F-1</x:v>
      </x:c>
    </x:row>
    <x:row r="35" ht="24" hidden="0" customHeight="1">
      <x:c r="A35" s="27" t="n">
        <x:v>30</x:v>
      </x:c>
      <x:c r="B35" s="58" t="str">
        <x:v>dgs2_level</x:v>
      </x:c>
      <x:c r="C35" s="52" t="b">
        <x:v>1</x:v>
      </x:c>
      <x:c r="D35" s="55" t="str">
        <x:v>宏观：利率</x:v>
      </x:c>
      <x:c r="E35" s="55" t="str">
        <x:v>FRED DGS2</x:v>
      </x:c>
      <x:c r="F35" s="55" t="str">
        <x:v>level at F-1</x:v>
      </x:c>
      <x:c r="G35" s="55" t="str">
        <x:v>source native units</x:v>
      </x:c>
      <x:c r="H35" s="55" t="str">
        <x:v>lagged carried level</x:v>
      </x:c>
      <x:c r="I35" s="55" t="str">
        <x:v>控制贴现率、融资环境和期限结构</x:v>
      </x:c>
      <x:c r="J35" s="55" t="str">
        <x:v>formation session F uses information available through F-1</x:v>
      </x:c>
    </x:row>
    <x:row r="36" ht="24" hidden="0" customHeight="1">
      <x:c r="A36" s="27" t="n">
        <x:v>31</x:v>
      </x:c>
      <x:c r="B36" s="58" t="str">
        <x:v>dgs2_change_5d</x:v>
      </x:c>
      <x:c r="C36" s="52" t="b">
        <x:v>1</x:v>
      </x:c>
      <x:c r="D36" s="55" t="str">
        <x:v>宏观：利率</x:v>
      </x:c>
      <x:c r="E36" s="55" t="str">
        <x:v>FRED DGS2</x:v>
      </x:c>
      <x:c r="F36" s="55" t="str">
        <x:v>5 SPY sessions</x:v>
      </x:c>
      <x:c r="G36" s="55" t="str">
        <x:v>source native units</x:v>
      </x:c>
      <x:c r="H36" s="55" t="str">
        <x:v>current lagged carried level minus 5 SPY sessions prior</x:v>
      </x:c>
      <x:c r="I36" s="55" t="str">
        <x:v>控制贴现率、融资环境和期限结构</x:v>
      </x:c>
      <x:c r="J36" s="55" t="str">
        <x:v>formation session F uses information available through F-1</x:v>
      </x:c>
    </x:row>
    <x:row r="37" ht="24" hidden="0" customHeight="1">
      <x:c r="A37" s="27" t="n">
        <x:v>32</x:v>
      </x:c>
      <x:c r="B37" s="58" t="str">
        <x:v>dgs2_change_20d</x:v>
      </x:c>
      <x:c r="C37" s="52" t="b">
        <x:v>1</x:v>
      </x:c>
      <x:c r="D37" s="55" t="str">
        <x:v>宏观：利率</x:v>
      </x:c>
      <x:c r="E37" s="55" t="str">
        <x:v>FRED DGS2</x:v>
      </x:c>
      <x:c r="F37" s="55" t="str">
        <x:v>20 SPY sessions</x:v>
      </x:c>
      <x:c r="G37" s="55" t="str">
        <x:v>source native units</x:v>
      </x:c>
      <x:c r="H37" s="55" t="str">
        <x:v>current lagged carried level minus 20 SPY sessions prior</x:v>
      </x:c>
      <x:c r="I37" s="55" t="str">
        <x:v>控制贴现率、融资环境和期限结构</x:v>
      </x:c>
      <x:c r="J37" s="55" t="str">
        <x:v>formation session F uses information available through F-1</x:v>
      </x:c>
    </x:row>
    <x:row r="38" ht="24" hidden="0" customHeight="1">
      <x:c r="A38" s="27" t="n">
        <x:v>33</x:v>
      </x:c>
      <x:c r="B38" s="58" t="str">
        <x:v>dgs10_level</x:v>
      </x:c>
      <x:c r="C38" s="52" t="b">
        <x:v>1</x:v>
      </x:c>
      <x:c r="D38" s="55" t="str">
        <x:v>宏观：利率</x:v>
      </x:c>
      <x:c r="E38" s="55" t="str">
        <x:v>FRED DGS10</x:v>
      </x:c>
      <x:c r="F38" s="55" t="str">
        <x:v>level at F-1</x:v>
      </x:c>
      <x:c r="G38" s="55" t="str">
        <x:v>source native units</x:v>
      </x:c>
      <x:c r="H38" s="55" t="str">
        <x:v>lagged carried level</x:v>
      </x:c>
      <x:c r="I38" s="55" t="str">
        <x:v>控制贴现率、融资环境和期限结构</x:v>
      </x:c>
      <x:c r="J38" s="55" t="str">
        <x:v>formation session F uses information available through F-1</x:v>
      </x:c>
    </x:row>
    <x:row r="39" ht="24" hidden="0" customHeight="1">
      <x:c r="A39" s="27" t="n">
        <x:v>34</x:v>
      </x:c>
      <x:c r="B39" s="58" t="str">
        <x:v>dgs10_change_5d</x:v>
      </x:c>
      <x:c r="C39" s="52" t="b">
        <x:v>1</x:v>
      </x:c>
      <x:c r="D39" s="55" t="str">
        <x:v>宏观：利率</x:v>
      </x:c>
      <x:c r="E39" s="55" t="str">
        <x:v>FRED DGS10</x:v>
      </x:c>
      <x:c r="F39" s="55" t="str">
        <x:v>5 SPY sessions</x:v>
      </x:c>
      <x:c r="G39" s="55" t="str">
        <x:v>source native units</x:v>
      </x:c>
      <x:c r="H39" s="55" t="str">
        <x:v>current lagged carried level minus 5 SPY sessions prior</x:v>
      </x:c>
      <x:c r="I39" s="55" t="str">
        <x:v>控制贴现率、融资环境和期限结构</x:v>
      </x:c>
      <x:c r="J39" s="55" t="str">
        <x:v>formation session F uses information available through F-1</x:v>
      </x:c>
    </x:row>
    <x:row r="40" ht="24" hidden="0" customHeight="1">
      <x:c r="A40" s="27" t="n">
        <x:v>35</x:v>
      </x:c>
      <x:c r="B40" s="58" t="str">
        <x:v>dgs10_change_20d</x:v>
      </x:c>
      <x:c r="C40" s="52" t="b">
        <x:v>1</x:v>
      </x:c>
      <x:c r="D40" s="55" t="str">
        <x:v>宏观：利率</x:v>
      </x:c>
      <x:c r="E40" s="55" t="str">
        <x:v>FRED DGS10</x:v>
      </x:c>
      <x:c r="F40" s="55" t="str">
        <x:v>20 SPY sessions</x:v>
      </x:c>
      <x:c r="G40" s="55" t="str">
        <x:v>source native units</x:v>
      </x:c>
      <x:c r="H40" s="55" t="str">
        <x:v>current lagged carried level minus 20 SPY sessions prior</x:v>
      </x:c>
      <x:c r="I40" s="55" t="str">
        <x:v>控制贴现率、融资环境和期限结构</x:v>
      </x:c>
      <x:c r="J40" s="55" t="str">
        <x:v>formation session F uses information available through F-1</x:v>
      </x:c>
    </x:row>
    <x:row r="41" ht="24" hidden="0" customHeight="1">
      <x:c r="A41" s="27" t="n">
        <x:v>36</x:v>
      </x:c>
      <x:c r="B41" s="58" t="str">
        <x:v>broad_dollar_level</x:v>
      </x:c>
      <x:c r="C41" s="52" t="b">
        <x:v>1</x:v>
      </x:c>
      <x:c r="D41" s="55" t="str">
        <x:v>宏观：美元</x:v>
      </x:c>
      <x:c r="E41" s="55" t="str">
        <x:v>FRED DTWEXBGS</x:v>
      </x:c>
      <x:c r="F41" s="55" t="str">
        <x:v>level at F-1</x:v>
      </x:c>
      <x:c r="G41" s="55" t="str">
        <x:v>source native units</x:v>
      </x:c>
      <x:c r="H41" s="55" t="str">
        <x:v>lagged carried level</x:v>
      </x:c>
      <x:c r="I41" s="55" t="str">
        <x:v>控制美元与全球金融条件</x:v>
      </x:c>
      <x:c r="J41" s="55" t="str">
        <x:v>formation session F uses information available through F-1</x:v>
      </x:c>
    </x:row>
    <x:row r="42" ht="24" hidden="0" customHeight="1">
      <x:c r="A42" s="27" t="n">
        <x:v>37</x:v>
      </x:c>
      <x:c r="B42" s="58" t="str">
        <x:v>broad_dollar_change_5d</x:v>
      </x:c>
      <x:c r="C42" s="52" t="b">
        <x:v>1</x:v>
      </x:c>
      <x:c r="D42" s="55" t="str">
        <x:v>宏观：美元</x:v>
      </x:c>
      <x:c r="E42" s="55" t="str">
        <x:v>FRED DTWEXBGS</x:v>
      </x:c>
      <x:c r="F42" s="55" t="str">
        <x:v>5 SPY sessions</x:v>
      </x:c>
      <x:c r="G42" s="55" t="str">
        <x:v>source native units</x:v>
      </x:c>
      <x:c r="H42" s="55" t="str">
        <x:v>current lagged carried level minus 5 SPY sessions prior</x:v>
      </x:c>
      <x:c r="I42" s="55" t="str">
        <x:v>控制美元与全球金融条件</x:v>
      </x:c>
      <x:c r="J42" s="55" t="str">
        <x:v>formation session F uses information available through F-1</x:v>
      </x:c>
    </x:row>
    <x:row r="43" ht="24" hidden="0" customHeight="1">
      <x:c r="A43" s="27" t="n">
        <x:v>38</x:v>
      </x:c>
      <x:c r="B43" s="58" t="str">
        <x:v>broad_dollar_change_20d</x:v>
      </x:c>
      <x:c r="C43" s="52" t="b">
        <x:v>1</x:v>
      </x:c>
      <x:c r="D43" s="55" t="str">
        <x:v>宏观：美元</x:v>
      </x:c>
      <x:c r="E43" s="55" t="str">
        <x:v>FRED DTWEXBGS</x:v>
      </x:c>
      <x:c r="F43" s="55" t="str">
        <x:v>20 SPY sessions</x:v>
      </x:c>
      <x:c r="G43" s="55" t="str">
        <x:v>source native units</x:v>
      </x:c>
      <x:c r="H43" s="55" t="str">
        <x:v>current lagged carried level minus 20 SPY sessions prior</x:v>
      </x:c>
      <x:c r="I43" s="55" t="str">
        <x:v>控制美元与全球金融条件</x:v>
      </x:c>
      <x:c r="J43" s="55" t="str">
        <x:v>formation session F uses information available through F-1</x:v>
      </x:c>
    </x:row>
    <x:row r="44" ht="24" hidden="0" customHeight="1">
      <x:c r="A44" s="27" t="n">
        <x:v>39</x:v>
      </x:c>
      <x:c r="B44" s="58" t="str">
        <x:v>broad_dollar_change_60d</x:v>
      </x:c>
      <x:c r="C44" s="52" t="b">
        <x:v>1</x:v>
      </x:c>
      <x:c r="D44" s="55" t="str">
        <x:v>宏观：美元</x:v>
      </x:c>
      <x:c r="E44" s="55" t="str">
        <x:v>FRED DTWEXBGS</x:v>
      </x:c>
      <x:c r="F44" s="55" t="str">
        <x:v>60 SPY sessions</x:v>
      </x:c>
      <x:c r="G44" s="55" t="str">
        <x:v>source native units</x:v>
      </x:c>
      <x:c r="H44" s="55" t="str">
        <x:v>current lagged carried level minus 60 SPY sessions prior</x:v>
      </x:c>
      <x:c r="I44" s="55" t="str">
        <x:v>控制美元与全球金融条件</x:v>
      </x:c>
      <x:c r="J44" s="55" t="str">
        <x:v>formation session F uses information available through F-1</x:v>
      </x:c>
    </x:row>
    <x:row r="45" ht="24" hidden="0" customHeight="1">
      <x:c r="A45" s="27" t="n">
        <x:v>40</x:v>
      </x:c>
      <x:c r="B45" s="58" t="str">
        <x:v>term_spread_10y_2y</x:v>
      </x:c>
      <x:c r="C45" s="52" t="b">
        <x:v>1</x:v>
      </x:c>
      <x:c r="D45" s="55" t="str">
        <x:v>宏观：利率</x:v>
      </x:c>
      <x:c r="E45" s="55" t="str">
        <x:v>FRED DGS10/DGS2</x:v>
      </x:c>
      <x:c r="F45" s="55" t="str">
        <x:v>level at F-1</x:v>
      </x:c>
      <x:c r="G45" s="55" t="str">
        <x:v>percentage points</x:v>
      </x:c>
      <x:c r="H45" s="55" t="str">
        <x:v>DGS10_value - DGS2_value</x:v>
      </x:c>
      <x:c r="I45" s="55" t="str">
        <x:v>控制贴现率、融资环境和期限结构</x:v>
      </x:c>
      <x:c r="J45" s="55" t="str">
        <x:v>formation session F uses information available through F-1</x:v>
      </x:c>
    </x:row>
    <x:row r="46" ht="24" hidden="0" customHeight="1">
      <x:c r="A46" s="27" t="n">
        <x:v>41</x:v>
      </x:c>
      <x:c r="B46" s="58" t="str">
        <x:v>term_spread_10y_3m</x:v>
      </x:c>
      <x:c r="C46" s="52" t="b">
        <x:v>1</x:v>
      </x:c>
      <x:c r="D46" s="55" t="str">
        <x:v>宏观：利率</x:v>
      </x:c>
      <x:c r="E46" s="55" t="str">
        <x:v>FRED DGS10/DGS3MO</x:v>
      </x:c>
      <x:c r="F46" s="55" t="str">
        <x:v>level at F-1</x:v>
      </x:c>
      <x:c r="G46" s="55" t="str">
        <x:v>percentage points</x:v>
      </x:c>
      <x:c r="H46" s="55" t="str">
        <x:v>DGS10_value - DGS3MO_value</x:v>
      </x:c>
      <x:c r="I46" s="55" t="str">
        <x:v>控制贴现率、融资环境和期限结构</x:v>
      </x:c>
      <x:c r="J46" s="55" t="str">
        <x:v>formation session F uses information available through F-1</x:v>
      </x:c>
    </x:row>
    <x:row r="47" ht="48" hidden="0" customHeight="1">
      <x:c r="A47" s="27" t="n">
        <x:v>42</x:v>
      </x:c>
      <x:c r="B47" s="58" t="str">
        <x:v>high_yield_oas_level</x:v>
      </x:c>
      <x:c r="C47" s="52" t="b">
        <x:v>0</x:v>
      </x:c>
      <x:c r="D47" s="55" t="str">
        <x:v>宏观：信用利差</x:v>
      </x:c>
      <x:c r="E47" s="55" t="str">
        <x:v>FRED BAMLH0A0HYM2</x:v>
      </x:c>
      <x:c r="F47" s="55" t="str">
        <x:v>not used</x:v>
      </x:c>
      <x:c r="G47" s="55" t="str">
        <x:v>source native units</x:v>
      </x:c>
      <x:c r="H47" s="55" t="str">
        <x:v>lagged carried level</x:v>
      </x:c>
      <x:c r="I47" s="55" t="str">
        <x:v>经济含义相关，但开发期覆盖不可用，因此保留记录并排除</x:v>
      </x:c>
      <x:c r="J47" s="55" t="str">
        <x:v>TRAINING_COVERAGE_UNAVAILABLE: BAMLH0A0HYM2 and BAMLC0A0CM first valid source observation is 2023-09-11, after the 2015-2020 training and 2021-2022 validation windows</x:v>
      </x:c>
    </x:row>
    <x:row r="48" ht="48" hidden="0" customHeight="1">
      <x:c r="A48" s="27" t="n">
        <x:v>43</x:v>
      </x:c>
      <x:c r="B48" s="58" t="str">
        <x:v>high_yield_oas_change_5d</x:v>
      </x:c>
      <x:c r="C48" s="52" t="b">
        <x:v>0</x:v>
      </x:c>
      <x:c r="D48" s="55" t="str">
        <x:v>宏观：信用利差</x:v>
      </x:c>
      <x:c r="E48" s="55" t="str">
        <x:v>FRED BAMLH0A0HYM2</x:v>
      </x:c>
      <x:c r="F48" s="55" t="str">
        <x:v>not used</x:v>
      </x:c>
      <x:c r="G48" s="55" t="str">
        <x:v>source native units</x:v>
      </x:c>
      <x:c r="H48" s="55" t="str">
        <x:v>current lagged carried level minus 5 SPY sessions prior</x:v>
      </x:c>
      <x:c r="I48" s="55" t="str">
        <x:v>经济含义相关，但开发期覆盖不可用，因此保留记录并排除</x:v>
      </x:c>
      <x:c r="J48" s="55" t="str">
        <x:v>TRAINING_COVERAGE_UNAVAILABLE: BAMLH0A0HYM2 and BAMLC0A0CM first valid source observation is 2023-09-11, after the 2015-2020 training and 2021-2022 validation windows</x:v>
      </x:c>
    </x:row>
    <x:row r="49" ht="48" hidden="0" customHeight="1">
      <x:c r="A49" s="27" t="n">
        <x:v>44</x:v>
      </x:c>
      <x:c r="B49" s="58" t="str">
        <x:v>high_yield_oas_change_20d</x:v>
      </x:c>
      <x:c r="C49" s="52" t="b">
        <x:v>0</x:v>
      </x:c>
      <x:c r="D49" s="55" t="str">
        <x:v>宏观：信用利差</x:v>
      </x:c>
      <x:c r="E49" s="55" t="str">
        <x:v>FRED BAMLH0A0HYM2</x:v>
      </x:c>
      <x:c r="F49" s="55" t="str">
        <x:v>not used</x:v>
      </x:c>
      <x:c r="G49" s="55" t="str">
        <x:v>source native units</x:v>
      </x:c>
      <x:c r="H49" s="55" t="str">
        <x:v>current lagged carried level minus 20 SPY sessions prior</x:v>
      </x:c>
      <x:c r="I49" s="55" t="str">
        <x:v>经济含义相关，但开发期覆盖不可用，因此保留记录并排除</x:v>
      </x:c>
      <x:c r="J49" s="55" t="str">
        <x:v>TRAINING_COVERAGE_UNAVAILABLE: BAMLH0A0HYM2 and BAMLC0A0CM first valid source observation is 2023-09-11, after the 2015-2020 training and 2021-2022 validation windows</x:v>
      </x:c>
    </x:row>
    <x:row r="50" ht="48" hidden="0" customHeight="1">
      <x:c r="A50" s="27" t="n">
        <x:v>45</x:v>
      </x:c>
      <x:c r="B50" s="58" t="str">
        <x:v>investment_grade_oas_level</x:v>
      </x:c>
      <x:c r="C50" s="52" t="b">
        <x:v>0</x:v>
      </x:c>
      <x:c r="D50" s="55" t="str">
        <x:v>宏观：信用利差</x:v>
      </x:c>
      <x:c r="E50" s="55" t="str">
        <x:v>FRED BAMLC0A0CM</x:v>
      </x:c>
      <x:c r="F50" s="55" t="str">
        <x:v>not used</x:v>
      </x:c>
      <x:c r="G50" s="55" t="str">
        <x:v>source native units</x:v>
      </x:c>
      <x:c r="H50" s="55" t="str">
        <x:v>lagged carried level</x:v>
      </x:c>
      <x:c r="I50" s="55" t="str">
        <x:v>经济含义相关，但开发期覆盖不可用，因此保留记录并排除</x:v>
      </x:c>
      <x:c r="J50" s="55" t="str">
        <x:v>TRAINING_COVERAGE_UNAVAILABLE: BAMLH0A0HYM2 and BAMLC0A0CM first valid source observation is 2023-09-11, after the 2015-2020 training and 2021-2022 validation windows</x:v>
      </x:c>
    </x:row>
    <x:row r="51" ht="48" hidden="0" customHeight="1">
      <x:c r="A51" s="27" t="n">
        <x:v>46</x:v>
      </x:c>
      <x:c r="B51" s="58" t="str">
        <x:v>investment_grade_oas_change_5d</x:v>
      </x:c>
      <x:c r="C51" s="52" t="b">
        <x:v>0</x:v>
      </x:c>
      <x:c r="D51" s="55" t="str">
        <x:v>宏观：信用利差</x:v>
      </x:c>
      <x:c r="E51" s="55" t="str">
        <x:v>FRED BAMLC0A0CM</x:v>
      </x:c>
      <x:c r="F51" s="55" t="str">
        <x:v>not used</x:v>
      </x:c>
      <x:c r="G51" s="55" t="str">
        <x:v>source native units</x:v>
      </x:c>
      <x:c r="H51" s="55" t="str">
        <x:v>current lagged carried level minus 5 SPY sessions prior</x:v>
      </x:c>
      <x:c r="I51" s="55" t="str">
        <x:v>经济含义相关，但开发期覆盖不可用，因此保留记录并排除</x:v>
      </x:c>
      <x:c r="J51" s="55" t="str">
        <x:v>TRAINING_COVERAGE_UNAVAILABLE: BAMLH0A0HYM2 and BAMLC0A0CM first valid source observation is 2023-09-11, after the 2015-2020 training and 2021-2022 validation windows</x:v>
      </x:c>
    </x:row>
    <x:row r="52" ht="48" hidden="0" customHeight="1">
      <x:c r="A52" s="28" t="n">
        <x:v>47</x:v>
      </x:c>
      <x:c r="B52" s="59" t="str">
        <x:v>investment_grade_oas_change_20d</x:v>
      </x:c>
      <x:c r="C52" s="53" t="b">
        <x:v>0</x:v>
      </x:c>
      <x:c r="D52" s="56" t="str">
        <x:v>宏观：信用利差</x:v>
      </x:c>
      <x:c r="E52" s="56" t="str">
        <x:v>FRED BAMLC0A0CM</x:v>
      </x:c>
      <x:c r="F52" s="56" t="str">
        <x:v>not used</x:v>
      </x:c>
      <x:c r="G52" s="56" t="str">
        <x:v>source native units</x:v>
      </x:c>
      <x:c r="H52" s="56" t="str">
        <x:v>current lagged carried level minus 20 SPY sessions prior</x:v>
      </x:c>
      <x:c r="I52" s="56" t="str">
        <x:v>经济含义相关，但开发期覆盖不可用，因此保留记录并排除</x:v>
      </x:c>
      <x:c r="J52" s="56" t="str">
        <x:v>TRAINING_COVERAGE_UNAVAILABLE: BAMLH0A0HYM2 and BAMLC0A0CM first valid source observation is 2023-09-11, after the 2015-2020 training and 2021-2022 validation windows</x:v>
      </x:c>
    </x:row>
  </x:sheetData>
  <x:conditionalFormatting sqref="C6:C52">
    <x:cfRule type="cellIs" dxfId="0" priority="1" operator="equal">
      <x:formula>FALSE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7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2" ht="18" hidden="0" customHeight="1">
      <x:c r="A2" s="80" t="str">
        <x:v>Validation Metrics - All Frozen Baseline Comparisons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</x:row>
    <x:row r="3" ht="15" hidden="0" customHeight="1">
      <x:c r="A3" s="82" t="str">
        <x:v>BMF5360 | validation-only baseline package | test period remains sealed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</x:row>
    <x:row r="4" ht="24" hidden="0" customHeight="1">
      <x:c r="A4" s="22" t="str">
        <x:v>Model key</x:v>
      </x:c>
      <x:c r="B4" s="47" t="str">
        <x:v>Feature set</x:v>
      </x:c>
      <x:c r="C4" s="47" t="str">
        <x:v>Model</x:v>
      </x:c>
      <x:c r="D4" s="47" t="str">
        <x:v>Rows</x:v>
      </x:c>
      <x:c r="E4" s="47" t="str">
        <x:v>Instruments</x:v>
      </x:c>
      <x:c r="F4" s="47" t="str">
        <x:v>Formation dates</x:v>
      </x:c>
      <x:c r="G4" s="47" t="str">
        <x:v>Positive rate</x:v>
      </x:c>
      <x:c r="H4" s="47" t="str">
        <x:v>ROC-AUC</x:v>
      </x:c>
      <x:c r="I4" s="47" t="str">
        <x:v>PR-AUC</x:v>
      </x:c>
      <x:c r="J4" s="47" t="str">
        <x:v>Brier</x:v>
      </x:c>
      <x:c r="K4" s="47" t="str">
        <x:v>Accuracy @0.50</x:v>
      </x:c>
      <x:c r="L4" s="47" t="str">
        <x:v>Pooled rank IC</x:v>
      </x:c>
      <x:c r="M4" s="47" t="str">
        <x:v>Mean daily rank IC</x:v>
      </x:c>
      <x:c r="N4" s="47" t="str">
        <x:v>Top-bottom spread</x:v>
      </x:c>
      <x:c r="O4" s="23" t="str">
        <x:v>AUC change vs technical Logistic</x:v>
      </x:c>
    </x:row>
    <x:row r="5" ht="15" hidden="0" customHeight="1">
      <x:c r="A5" s="26" t="str">
        <x:v>technical_only/logistic</x:v>
      </x:c>
      <x:c r="B5" s="26" t="str">
        <x:v>technical_only</x:v>
      </x:c>
      <x:c r="C5" s="26" t="str">
        <x:v>logistic</x:v>
      </x:c>
      <x:c r="D5" s="26" t="n">
        <x:v>992</x:v>
      </x:c>
      <x:c r="E5" s="26" t="n">
        <x:v>44</x:v>
      </x:c>
      <x:c r="F5" s="26" t="n">
        <x:v>89</x:v>
      </x:c>
      <x:c r="G5" s="63" t="n">
        <x:v>0.5070564516129032</x:v>
      </x:c>
      <x:c r="H5" s="60" t="n">
        <x:v>0.5394626108380393</x:v>
      </x:c>
      <x:c r="I5" s="60" t="n">
        <x:v>0.5420980474543661</x:v>
      </x:c>
      <x:c r="J5" s="60" t="n">
        <x:v>0.2510953427100779</x:v>
      </x:c>
      <x:c r="K5" s="63" t="n">
        <x:v>0.5161290322580645</x:v>
      </x:c>
      <x:c r="L5" s="60" t="n">
        <x:v>0.1403233206646585</x:v>
      </x:c>
      <x:c r="M5" s="60" t="n">
        <x:v>0.0776001305163553</x:v>
      </x:c>
      <x:c r="N5" s="63" t="n">
        <x:v>0.0061520549211569</x:v>
      </x:c>
      <x:c r="O5" s="60" t="n">
        <x:f>H5-$H$5</x:f>
        <x:v>0</x:v>
      </x:c>
    </x:row>
    <x:row r="6" ht="15" hidden="0" customHeight="1">
      <x:c r="A6" s="27" t="str">
        <x:v>technical_only/random_forest</x:v>
      </x:c>
      <x:c r="B6" s="27" t="str">
        <x:v>technical_only</x:v>
      </x:c>
      <x:c r="C6" s="27" t="str">
        <x:v>random_forest</x:v>
      </x:c>
      <x:c r="D6" s="27" t="n">
        <x:v>992</x:v>
      </x:c>
      <x:c r="E6" s="27" t="n">
        <x:v>44</x:v>
      </x:c>
      <x:c r="F6" s="27" t="n">
        <x:v>89</x:v>
      </x:c>
      <x:c r="G6" s="64" t="n">
        <x:v>0.5070564516129032</x:v>
      </x:c>
      <x:c r="H6" s="61" t="n">
        <x:v>0.5231026926376303</x:v>
      </x:c>
      <x:c r="I6" s="61" t="n">
        <x:v>0.551087730475391</x:v>
      </x:c>
      <x:c r="J6" s="61" t="n">
        <x:v>0.2542925456321551</x:v>
      </x:c>
      <x:c r="K6" s="64" t="n">
        <x:v>0.5191532258064516</x:v>
      </x:c>
      <x:c r="L6" s="61" t="n">
        <x:v>0.0742585963467524</x:v>
      </x:c>
      <x:c r="M6" s="61" t="n">
        <x:v>0.0629170405416428</x:v>
      </x:c>
      <x:c r="N6" s="64" t="n">
        <x:v>0.0016150843774513</x:v>
      </x:c>
      <x:c r="O6" s="61" t="n">
        <x:f>H6-$H$5</x:f>
        <x:v>-0.01635991820040894</x:v>
      </x:c>
    </x:row>
    <x:row r="7" ht="15" hidden="0" customHeight="1">
      <x:c r="A7" s="69" t="str">
        <x:v>technical_plus_macro/logistic</x:v>
      </x:c>
      <x:c r="B7" s="69" t="str">
        <x:v>technical_plus_macro</x:v>
      </x:c>
      <x:c r="C7" s="69" t="str">
        <x:v>logistic</x:v>
      </x:c>
      <x:c r="D7" s="69" t="n">
        <x:v>992</x:v>
      </x:c>
      <x:c r="E7" s="69" t="n">
        <x:v>44</x:v>
      </x:c>
      <x:c r="F7" s="69" t="n">
        <x:v>89</x:v>
      </x:c>
      <x:c r="G7" s="70" t="n">
        <x:v>0.5070564516129032</x:v>
      </x:c>
      <x:c r="H7" s="71" t="n">
        <x:v>0.5615590709322795</x:v>
      </x:c>
      <x:c r="I7" s="71" t="n">
        <x:v>0.552404099003158</x:v>
      </x:c>
      <x:c r="J7" s="71" t="n">
        <x:v>0.2508244874488388</x:v>
      </x:c>
      <x:c r="K7" s="70" t="n">
        <x:v>0.5645161290322581</x:v>
      </x:c>
      <x:c r="L7" s="71" t="n">
        <x:v>0.1739062167636592</x:v>
      </x:c>
      <x:c r="M7" s="71" t="n">
        <x:v>0.0858063463577779</x:v>
      </x:c>
      <x:c r="N7" s="70" t="n">
        <x:v>0.0052441811609972</x:v>
      </x:c>
      <x:c r="O7" s="71" t="n">
        <x:f>H7-$H$5</x:f>
        <x:v>0.022096460094240267</x:v>
      </x:c>
    </x:row>
    <x:row r="8" ht="15" hidden="0" customHeight="1">
      <x:c r="A8" s="27" t="str">
        <x:v>technical_plus_macro/random_forest</x:v>
      </x:c>
      <x:c r="B8" s="27" t="str">
        <x:v>technical_plus_macro</x:v>
      </x:c>
      <x:c r="C8" s="27" t="str">
        <x:v>random_forest</x:v>
      </x:c>
      <x:c r="D8" s="27" t="n">
        <x:v>992</x:v>
      </x:c>
      <x:c r="E8" s="27" t="n">
        <x:v>44</x:v>
      </x:c>
      <x:c r="F8" s="27" t="n">
        <x:v>89</x:v>
      </x:c>
      <x:c r="G8" s="64" t="n">
        <x:v>0.5070564516129032</x:v>
      </x:c>
      <x:c r="H8" s="61" t="n">
        <x:v>0.5361898140807506</x:v>
      </x:c>
      <x:c r="I8" s="61" t="n">
        <x:v>0.5454062925719456</x:v>
      </x:c>
      <x:c r="J8" s="61" t="n">
        <x:v>0.2495687160414593</x:v>
      </x:c>
      <x:c r="K8" s="64" t="n">
        <x:v>0.5292338709677419</x:v>
      </x:c>
      <x:c r="L8" s="61" t="n">
        <x:v>0.0955497931829895</x:v>
      </x:c>
      <x:c r="M8" s="61" t="n">
        <x:v>0.0356309650053022</x:v>
      </x:c>
      <x:c r="N8" s="64" t="n">
        <x:v>-0.0010756705246797</x:v>
      </x:c>
      <x:c r="O8" s="61" t="n">
        <x:f>H8-$H$5</x:f>
        <x:v>-0.003272796757288643</x:v>
      </x:c>
    </x:row>
    <x:row r="9" ht="15" hidden="0" customHeight="1">
      <x:c r="A9" s="27" t="str">
        <x:v>technical_plus_ai_state/logistic</x:v>
      </x:c>
      <x:c r="B9" s="27" t="str">
        <x:v>technical_plus_ai_state</x:v>
      </x:c>
      <x:c r="C9" s="27" t="str">
        <x:v>logistic</x:v>
      </x:c>
      <x:c r="D9" s="27" t="n">
        <x:v>992</x:v>
      </x:c>
      <x:c r="E9" s="27" t="n">
        <x:v>44</x:v>
      </x:c>
      <x:c r="F9" s="27" t="n">
        <x:v>89</x:v>
      </x:c>
      <x:c r="G9" s="64" t="n">
        <x:v>0.5070564516129032</x:v>
      </x:c>
      <x:c r="H9" s="61" t="n">
        <x:v>0.5799395853915363</x:v>
      </x:c>
      <x:c r="I9" s="61" t="n">
        <x:v>0.5745134788208872</x:v>
      </x:c>
      <x:c r="J9" s="61" t="n">
        <x:v>0.2476321266726128</x:v>
      </x:c>
      <x:c r="K9" s="64" t="n">
        <x:v>0.5453629032258065</x:v>
      </x:c>
      <x:c r="L9" s="61" t="n">
        <x:v>0.1866749335777184</x:v>
      </x:c>
      <x:c r="M9" s="61" t="n">
        <x:v>0.0889305816135084</x:v>
      </x:c>
      <x:c r="N9" s="64" t="n">
        <x:v>0.0073858128341293</x:v>
      </x:c>
      <x:c r="O9" s="61" t="n">
        <x:f>H9-$H$5</x:f>
        <x:v>0.04047697455349708</x:v>
      </x:c>
    </x:row>
    <x:row r="10" ht="15" hidden="0" customHeight="1">
      <x:c r="A10" s="27" t="str">
        <x:v>technical_plus_ai_state/random_forest</x:v>
      </x:c>
      <x:c r="B10" s="27" t="str">
        <x:v>technical_plus_ai_state</x:v>
      </x:c>
      <x:c r="C10" s="27" t="str">
        <x:v>random_forest</x:v>
      </x:c>
      <x:c r="D10" s="27" t="n">
        <x:v>992</x:v>
      </x:c>
      <x:c r="E10" s="27" t="n">
        <x:v>44</x:v>
      </x:c>
      <x:c r="F10" s="27" t="n">
        <x:v>89</x:v>
      </x:c>
      <x:c r="G10" s="64" t="n">
        <x:v>0.5070564516129032</x:v>
      </x:c>
      <x:c r="H10" s="61" t="n">
        <x:v>0.5390967080949883</x:v>
      </x:c>
      <x:c r="I10" s="61" t="n">
        <x:v>0.542245963876201</x:v>
      </x:c>
      <x:c r="J10" s="61" t="n">
        <x:v>0.2520135444421272</x:v>
      </x:c>
      <x:c r="K10" s="64" t="n">
        <x:v>0.5483870967741935</x:v>
      </x:c>
      <x:c r="L10" s="61" t="n">
        <x:v>0.1039182213058546</x:v>
      </x:c>
      <x:c r="M10" s="61" t="n">
        <x:v>0.0870625662778367</x:v>
      </x:c>
      <x:c r="N10" s="64" t="n">
        <x:v>0.0018978469720171</x:v>
      </x:c>
      <x:c r="O10" s="61" t="n">
        <x:f>H10-$H$5</x:f>
        <x:v>-0.0003659027430509276</x:v>
      </x:c>
    </x:row>
    <x:row r="11" ht="15" hidden="0" customHeight="1">
      <x:c r="A11" s="27" t="str">
        <x:v>full_state/logistic</x:v>
      </x:c>
      <x:c r="B11" s="27" t="str">
        <x:v>full_state</x:v>
      </x:c>
      <x:c r="C11" s="27" t="str">
        <x:v>logistic</x:v>
      </x:c>
      <x:c r="D11" s="27" t="n">
        <x:v>992</x:v>
      </x:c>
      <x:c r="E11" s="27" t="n">
        <x:v>44</x:v>
      </x:c>
      <x:c r="F11" s="27" t="n">
        <x:v>89</x:v>
      </x:c>
      <x:c r="G11" s="64" t="n">
        <x:v>0.5070564516129032</x:v>
      </x:c>
      <x:c r="H11" s="61" t="n">
        <x:v>0.5819927063386552</x:v>
      </x:c>
      <x:c r="I11" s="61" t="n">
        <x:v>0.545570754708588</x:v>
      </x:c>
      <x:c r="J11" s="61" t="n">
        <x:v>0.2699851982989222</x:v>
      </x:c>
      <x:c r="K11" s="64" t="n">
        <x:v>0.5564516129032258</x:v>
      </x:c>
      <x:c r="L11" s="61" t="n">
        <x:v>0.1858652145697596</x:v>
      </x:c>
      <x:c r="M11" s="61" t="n">
        <x:v>0.092952116812138</x:v>
      </x:c>
      <x:c r="N11" s="64" t="n">
        <x:v>0.0070323920722259</x:v>
      </x:c>
      <x:c r="O11" s="61" t="n">
        <x:f>H11-$H$5</x:f>
        <x:v>0.04253009550061593</x:v>
      </x:c>
    </x:row>
    <x:row r="12" ht="15" hidden="0" customHeight="1">
      <x:c r="A12" s="28" t="str">
        <x:v>full_state/random_forest</x:v>
      </x:c>
      <x:c r="B12" s="28" t="str">
        <x:v>full_state</x:v>
      </x:c>
      <x:c r="C12" s="28" t="str">
        <x:v>random_forest</x:v>
      </x:c>
      <x:c r="D12" s="28" t="n">
        <x:v>992</x:v>
      </x:c>
      <x:c r="E12" s="28" t="n">
        <x:v>44</x:v>
      </x:c>
      <x:c r="F12" s="28" t="n">
        <x:v>89</x:v>
      </x:c>
      <x:c r="G12" s="65" t="n">
        <x:v>0.5070564516129032</x:v>
      </x:c>
      <x:c r="H12" s="62" t="n">
        <x:v>0.5349213512381743</x:v>
      </x:c>
      <x:c r="I12" s="62" t="n">
        <x:v>0.5481349889026544</x:v>
      </x:c>
      <x:c r="J12" s="62" t="n">
        <x:v>0.2506154358021367</x:v>
      </x:c>
      <x:c r="K12" s="65" t="n">
        <x:v>0.5262096774193549</x:v>
      </x:c>
      <x:c r="L12" s="62" t="n">
        <x:v>0.087853393729414</x:v>
      </x:c>
      <x:c r="M12" s="62" t="n">
        <x:v>0.0373684639856432</x:v>
      </x:c>
      <x:c r="N12" s="65" t="n">
        <x:v>-0.0018118687720353</x:v>
      </x:c>
      <x:c r="O12" s="62" t="n">
        <x:f>H12-$H$5</x:f>
        <x:v>-0.004541259599864955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4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" hidden="0" customWidth="1"/>
    <x:col min="10" max="10" width="24" hidden="0" customWidth="1"/>
    <x:col min="11" max="11" width="12" hidden="0" customWidth="1"/>
  </x:cols>
  <x:sheetData>
    <x:row r="2" ht="18" hidden="0" customHeight="1">
      <x:c r="A2" s="80" t="str">
        <x:v>Technical + Macro Logistic Coefficients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</x:row>
    <x:row r="3" ht="15" hidden="0" customHeight="1">
      <x:c r="A3" s="82" t="str">
        <x:v>BMF5360 | validation-only baseline package | test period remains sealed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79"/>
    </x:row>
    <x:row r="4" ht="15" hidden="0" customHeight="1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79"/>
    </x:row>
    <x:row r="5" ht="15" hidden="0" customHeight="1">
      <x:c r="A5" s="22" t="str">
        <x:v>Absolute rank</x:v>
      </x:c>
      <x:c r="B5" s="47" t="str">
        <x:v>Transformed feature</x:v>
      </x:c>
      <x:c r="C5" s="47" t="str">
        <x:v>Base feature</x:v>
      </x:c>
      <x:c r="D5" s="47" t="str">
        <x:v>Missing indicator</x:v>
      </x:c>
      <x:c r="E5" s="47" t="str">
        <x:v>Standardized coefficient</x:v>
      </x:c>
      <x:c r="F5" s="47" t="str">
        <x:v>Absolute coefficient</x:v>
      </x:c>
      <x:c r="G5" s="47" t="str">
        <x:v>Odds multiplier per +1 SD</x:v>
      </x:c>
      <x:c r="H5" s="23" t="str">
        <x:v>Direction</x:v>
      </x:c>
      <x:c r="I5" s="79"/>
      <x:c r="J5" s="95" t="str">
        <x:v>Raw features</x:v>
      </x:c>
      <x:c r="K5" s="98" t="n">
        <x:v>41</x:v>
      </x:c>
    </x:row>
    <x:row r="6" ht="15" hidden="0" customHeight="1">
      <x:c r="A6" s="26" t="n">
        <x:v>1</x:v>
      </x:c>
      <x:c r="B6" s="73" t="str">
        <x:v>spy_momentum_60</x:v>
      </x:c>
      <x:c r="C6" s="73" t="str">
        <x:v>spy_momentum_60</x:v>
      </x:c>
      <x:c r="D6" s="51" t="b">
        <x:v>0</x:v>
      </x:c>
      <x:c r="E6" s="60" t="n">
        <x:v>-0.35084782303560486</x:v>
      </x:c>
      <x:c r="F6" s="60" t="n">
        <x:v>0.35084782303560486</x:v>
      </x:c>
      <x:c r="G6" s="60" t="n">
        <x:f>EXP(E6)</x:f>
        <x:v>0.7040908921180472</x:v>
      </x:c>
      <x:c r="H6" s="26" t="str">
        <x:f>IF(E6&gt;0,"Positive",IF(E6&lt;0,"Negative","Zero"))</x:f>
        <x:v>Negative</x:v>
      </x:c>
      <x:c r="I6" s="79"/>
      <x:c r="J6" s="95" t="str">
        <x:v>Transformed features</x:v>
      </x:c>
      <x:c r="K6" s="98" t="n">
        <x:v>42</x:v>
      </x:c>
    </x:row>
    <x:row r="7" ht="15" hidden="0" customHeight="1">
      <x:c r="A7" s="27" t="n">
        <x:v>2</x:v>
      </x:c>
      <x:c r="B7" s="74" t="str">
        <x:v>volume_median_20_log1p</x:v>
      </x:c>
      <x:c r="C7" s="74" t="str">
        <x:v>volume_median_20_log1p</x:v>
      </x:c>
      <x:c r="D7" s="52" t="b">
        <x:v>0</x:v>
      </x:c>
      <x:c r="E7" s="61" t="n">
        <x:v>0.2514324215735683</x:v>
      </x:c>
      <x:c r="F7" s="61" t="n">
        <x:v>0.2514324215735683</x:v>
      </x:c>
      <x:c r="G7" s="61" t="n">
        <x:f>EXP(E7)</x:f>
        <x:v>1.2858660003267572</x:v>
      </x:c>
      <x:c r="H7" s="27" t="str">
        <x:f>IF(E7&gt;0,"Positive",IF(E7&lt;0,"Negative","Zero"))</x:f>
        <x:v>Positive</x:v>
      </x:c>
      <x:c r="I7" s="79"/>
      <x:c r="J7" s="79"/>
      <x:c r="K7" s="79"/>
    </x:row>
    <x:row r="8" ht="15" hidden="0" customHeight="1">
      <x:c r="A8" s="27" t="n">
        <x:v>3</x:v>
      </x:c>
      <x:c r="B8" s="74" t="str">
        <x:v>spy_volatility_20_ann</x:v>
      </x:c>
      <x:c r="C8" s="74" t="str">
        <x:v>spy_volatility_20_ann</x:v>
      </x:c>
      <x:c r="D8" s="52" t="b">
        <x:v>0</x:v>
      </x:c>
      <x:c r="E8" s="61" t="n">
        <x:v>-0.2264701005688896</x:v>
      </x:c>
      <x:c r="F8" s="61" t="n">
        <x:v>0.2264701005688896</x:v>
      </x:c>
      <x:c r="G8" s="61" t="n">
        <x:f>EXP(E8)</x:f>
        <x:v>0.7973431820641312</x:v>
      </x:c>
      <x:c r="H8" s="27" t="str">
        <x:f>IF(E8&gt;0,"Positive",IF(E8&lt;0,"Negative","Zero"))</x:f>
        <x:v>Negative</x:v>
      </x:c>
      <x:c r="I8" s="79"/>
      <x:c r="J8" s="79"/>
      <x:c r="K8" s="79"/>
    </x:row>
    <x:row r="9" ht="15" hidden="0" customHeight="1">
      <x:c r="A9" s="27" t="n">
        <x:v>4</x:v>
      </x:c>
      <x:c r="B9" s="74" t="str">
        <x:v>dgs3mo_change_20d</x:v>
      </x:c>
      <x:c r="C9" s="74" t="str">
        <x:v>dgs3mo_change_20d</x:v>
      </x:c>
      <x:c r="D9" s="52" t="b">
        <x:v>0</x:v>
      </x:c>
      <x:c r="E9" s="61" t="n">
        <x:v>0.17434939241216102</x:v>
      </x:c>
      <x:c r="F9" s="61" t="n">
        <x:v>0.17434939241216102</x:v>
      </x:c>
      <x:c r="G9" s="61" t="n">
        <x:f>EXP(E9)</x:f>
        <x:v>1.1904714348516217</x:v>
      </x:c>
      <x:c r="H9" s="27" t="str">
        <x:f>IF(E9&gt;0,"Positive",IF(E9&lt;0,"Negative","Zero"))</x:f>
        <x:v>Positive</x:v>
      </x:c>
      <x:c r="I9" s="79"/>
      <x:c r="J9" s="79"/>
      <x:c r="K9" s="79"/>
    </x:row>
    <x:row r="10" ht="15" hidden="0" customHeight="1">
      <x:c r="A10" s="27" t="n">
        <x:v>5</x:v>
      </x:c>
      <x:c r="B10" s="74" t="str">
        <x:v>missingindicator_spread_median_60_bps</x:v>
      </x:c>
      <x:c r="C10" s="74" t="str">
        <x:v>spread_median_60_bps</x:v>
      </x:c>
      <x:c r="D10" s="52" t="b">
        <x:v>1</x:v>
      </x:c>
      <x:c r="E10" s="61" t="n">
        <x:v>0.17139628742379676</x:v>
      </x:c>
      <x:c r="F10" s="61" t="n">
        <x:v>0.17139628742379676</x:v>
      </x:c>
      <x:c r="G10" s="61" t="n">
        <x:f>EXP(E10)</x:f>
        <x:v>1.18696103356177</x:v>
      </x:c>
      <x:c r="H10" s="27" t="str">
        <x:f>IF(E10&gt;0,"Positive",IF(E10&lt;0,"Negative","Zero"))</x:f>
        <x:v>Positive</x:v>
      </x:c>
      <x:c r="I10" s="79"/>
      <x:c r="J10" s="79"/>
      <x:c r="K10" s="79"/>
    </x:row>
    <x:row r="11" ht="15" hidden="0" customHeight="1">
      <x:c r="A11" s="27" t="n">
        <x:v>6</x:v>
      </x:c>
      <x:c r="B11" s="74" t="str">
        <x:v>dollar_volume_median_60_log1p</x:v>
      </x:c>
      <x:c r="C11" s="74" t="str">
        <x:v>dollar_volume_median_60_log1p</x:v>
      </x:c>
      <x:c r="D11" s="52" t="b">
        <x:v>0</x:v>
      </x:c>
      <x:c r="E11" s="61" t="n">
        <x:v>-0.16771606443739764</x:v>
      </x:c>
      <x:c r="F11" s="61" t="n">
        <x:v>0.16771606443739764</x:v>
      </x:c>
      <x:c r="G11" s="61" t="n">
        <x:f>EXP(E11)</x:f>
        <x:v>0.8455938947804944</x:v>
      </x:c>
      <x:c r="H11" s="27" t="str">
        <x:f>IF(E11&gt;0,"Positive",IF(E11&lt;0,"Negative","Zero"))</x:f>
        <x:v>Negative</x:v>
      </x:c>
      <x:c r="I11" s="79"/>
      <x:c r="J11" s="79"/>
      <x:c r="K11" s="79"/>
    </x:row>
    <x:row r="12" ht="15" hidden="0" customHeight="1">
      <x:c r="A12" s="27" t="n">
        <x:v>7</x:v>
      </x:c>
      <x:c r="B12" s="74" t="str">
        <x:v>momentum_1</x:v>
      </x:c>
      <x:c r="C12" s="74" t="str">
        <x:v>momentum_1</x:v>
      </x:c>
      <x:c r="D12" s="52" t="b">
        <x:v>0</x:v>
      </x:c>
      <x:c r="E12" s="61" t="n">
        <x:v>-0.15560714580529844</x:v>
      </x:c>
      <x:c r="F12" s="61" t="n">
        <x:v>0.15560714580529844</x:v>
      </x:c>
      <x:c r="G12" s="61" t="n">
        <x:f>EXP(E12)</x:f>
        <x:v>0.8558953664175326</x:v>
      </x:c>
      <x:c r="H12" s="27" t="str">
        <x:f>IF(E12&gt;0,"Positive",IF(E12&lt;0,"Negative","Zero"))</x:f>
        <x:v>Negative</x:v>
      </x:c>
      <x:c r="I12" s="79"/>
      <x:c r="J12" s="79"/>
      <x:c r="K12" s="79"/>
    </x:row>
    <x:row r="13" ht="15" hidden="0" customHeight="1">
      <x:c r="A13" s="27" t="n">
        <x:v>8</x:v>
      </x:c>
      <x:c r="B13" s="74" t="str">
        <x:v>dgs10_change_20d</x:v>
      </x:c>
      <x:c r="C13" s="74" t="str">
        <x:v>dgs10_change_20d</x:v>
      </x:c>
      <x:c r="D13" s="52" t="b">
        <x:v>0</x:v>
      </x:c>
      <x:c r="E13" s="61" t="n">
        <x:v>-0.13810173136665127</x:v>
      </x:c>
      <x:c r="F13" s="61" t="n">
        <x:v>0.13810173136665127</x:v>
      </x:c>
      <x:c r="G13" s="61" t="n">
        <x:f>EXP(E13)</x:f>
        <x:v>0.8710100781928642</x:v>
      </x:c>
      <x:c r="H13" s="27" t="str">
        <x:f>IF(E13&gt;0,"Positive",IF(E13&lt;0,"Negative","Zero"))</x:f>
        <x:v>Negative</x:v>
      </x:c>
      <x:c r="I13" s="79"/>
      <x:c r="J13" s="79"/>
      <x:c r="K13" s="79"/>
    </x:row>
    <x:row r="14" ht="15" hidden="0" customHeight="1">
      <x:c r="A14" s="27" t="n">
        <x:v>9</x:v>
      </x:c>
      <x:c r="B14" s="74" t="str">
        <x:v>momentum_5</x:v>
      </x:c>
      <x:c r="C14" s="74" t="str">
        <x:v>momentum_5</x:v>
      </x:c>
      <x:c r="D14" s="52" t="b">
        <x:v>0</x:v>
      </x:c>
      <x:c r="E14" s="61" t="n">
        <x:v>-0.12955832741656487</x:v>
      </x:c>
      <x:c r="F14" s="61" t="n">
        <x:v>0.12955832741656487</x:v>
      </x:c>
      <x:c r="G14" s="61" t="n">
        <x:f>EXP(E14)</x:f>
        <x:v>0.8784833472577379</x:v>
      </x:c>
      <x:c r="H14" s="27" t="str">
        <x:f>IF(E14&gt;0,"Positive",IF(E14&lt;0,"Negative","Zero"))</x:f>
        <x:v>Negative</x:v>
      </x:c>
      <x:c r="I14" s="79"/>
      <x:c r="J14" s="79"/>
      <x:c r="K14" s="79"/>
    </x:row>
    <x:row r="15" ht="15" hidden="0" customHeight="1">
      <x:c r="A15" s="27" t="n">
        <x:v>10</x:v>
      </x:c>
      <x:c r="B15" s="74" t="str">
        <x:v>volatility_60_ann</x:v>
      </x:c>
      <x:c r="C15" s="74" t="str">
        <x:v>volatility_60_ann</x:v>
      </x:c>
      <x:c r="D15" s="52" t="b">
        <x:v>0</x:v>
      </x:c>
      <x:c r="E15" s="61" t="n">
        <x:v>-0.1283581805142802</x:v>
      </x:c>
      <x:c r="F15" s="61" t="n">
        <x:v>0.1283581805142802</x:v>
      </x:c>
      <x:c r="G15" s="61" t="n">
        <x:f>EXP(E15)</x:f>
        <x:v>0.8795382892417111</x:v>
      </x:c>
      <x:c r="H15" s="27" t="str">
        <x:f>IF(E15&gt;0,"Positive",IF(E15&lt;0,"Negative","Zero"))</x:f>
        <x:v>Negative</x:v>
      </x:c>
      <x:c r="I15" s="79"/>
      <x:c r="J15" s="79"/>
      <x:c r="K15" s="79"/>
    </x:row>
    <x:row r="16" ht="15" hidden="0" customHeight="1">
      <x:c r="A16" s="27" t="n">
        <x:v>11</x:v>
      </x:c>
      <x:c r="B16" s="74" t="str">
        <x:v>momentum_60</x:v>
      </x:c>
      <x:c r="C16" s="74" t="str">
        <x:v>momentum_60</x:v>
      </x:c>
      <x:c r="D16" s="52" t="b">
        <x:v>0</x:v>
      </x:c>
      <x:c r="E16" s="61" t="n">
        <x:v>0.1281791273323003</x:v>
      </x:c>
      <x:c r="F16" s="61" t="n">
        <x:v>0.1281791273323003</x:v>
      </x:c>
      <x:c r="G16" s="61" t="n">
        <x:f>EXP(E16)</x:f>
        <x:v>1.1367566086396015</x:v>
      </x:c>
      <x:c r="H16" s="27" t="str">
        <x:f>IF(E16&gt;0,"Positive",IF(E16&lt;0,"Negative","Zero"))</x:f>
        <x:v>Positive</x:v>
      </x:c>
      <x:c r="I16" s="79"/>
      <x:c r="J16" s="79"/>
      <x:c r="K16" s="79"/>
    </x:row>
    <x:row r="17" ht="15" hidden="0" customHeight="1">
      <x:c r="A17" s="27" t="n">
        <x:v>12</x:v>
      </x:c>
      <x:c r="B17" s="74" t="str">
        <x:v>dollar_volume_median_20_log1p</x:v>
      </x:c>
      <x:c r="C17" s="74" t="str">
        <x:v>dollar_volume_median_20_log1p</x:v>
      </x:c>
      <x:c r="D17" s="52" t="b">
        <x:v>0</x:v>
      </x:c>
      <x:c r="E17" s="61" t="n">
        <x:v>0.1266511978348354</x:v>
      </x:c>
      <x:c r="F17" s="61" t="n">
        <x:v>0.1266511978348354</x:v>
      </x:c>
      <x:c r="G17" s="61" t="n">
        <x:f>EXP(E17)</x:f>
        <x:v>1.135021050928382</x:v>
      </x:c>
      <x:c r="H17" s="27" t="str">
        <x:f>IF(E17&gt;0,"Positive",IF(E17&lt;0,"Negative","Zero"))</x:f>
        <x:v>Positive</x:v>
      </x:c>
      <x:c r="I17" s="79"/>
      <x:c r="J17" s="79"/>
      <x:c r="K17" s="79"/>
    </x:row>
    <x:row r="18" ht="15" hidden="0" customHeight="1">
      <x:c r="A18" s="27" t="n">
        <x:v>13</x:v>
      </x:c>
      <x:c r="B18" s="74" t="str">
        <x:v>dgs3mo_change_5d</x:v>
      </x:c>
      <x:c r="C18" s="74" t="str">
        <x:v>dgs3mo_change_5d</x:v>
      </x:c>
      <x:c r="D18" s="52" t="b">
        <x:v>0</x:v>
      </x:c>
      <x:c r="E18" s="61" t="n">
        <x:v>-0.12269789309010472</x:v>
      </x:c>
      <x:c r="F18" s="61" t="n">
        <x:v>0.12269789309010472</x:v>
      </x:c>
      <x:c r="G18" s="61" t="n">
        <x:f>EXP(E18)</x:f>
        <x:v>0.8845308450802604</x:v>
      </x:c>
      <x:c r="H18" s="27" t="str">
        <x:f>IF(E18&gt;0,"Positive",IF(E18&lt;0,"Negative","Zero"))</x:f>
        <x:v>Negative</x:v>
      </x:c>
      <x:c r="I18" s="79"/>
      <x:c r="J18" s="79"/>
      <x:c r="K18" s="79"/>
    </x:row>
    <x:row r="19" ht="15" hidden="0" customHeight="1">
      <x:c r="A19" s="27" t="n">
        <x:v>14</x:v>
      </x:c>
      <x:c r="B19" s="74" t="str">
        <x:v>spy_momentum_20</x:v>
      </x:c>
      <x:c r="C19" s="74" t="str">
        <x:v>spy_momentum_20</x:v>
      </x:c>
      <x:c r="D19" s="52" t="b">
        <x:v>0</x:v>
      </x:c>
      <x:c r="E19" s="61" t="n">
        <x:v>0.11847381638463413</x:v>
      </x:c>
      <x:c r="F19" s="61" t="n">
        <x:v>0.11847381638463413</x:v>
      </x:c>
      <x:c r="G19" s="61" t="n">
        <x:f>EXP(E19)</x:f>
        <x:v>1.1257773967937306</x:v>
      </x:c>
      <x:c r="H19" s="27" t="str">
        <x:f>IF(E19&gt;0,"Positive",IF(E19&lt;0,"Negative","Zero"))</x:f>
        <x:v>Positive</x:v>
      </x:c>
      <x:c r="I19" s="79"/>
      <x:c r="J19" s="79"/>
      <x:c r="K19" s="79"/>
    </x:row>
    <x:row r="20" ht="15" hidden="0" customHeight="1">
      <x:c r="A20" s="27" t="n">
        <x:v>15</x:v>
      </x:c>
      <x:c r="B20" s="74" t="str">
        <x:v>volume_median_60_log1p</x:v>
      </x:c>
      <x:c r="C20" s="74" t="str">
        <x:v>volume_median_60_log1p</x:v>
      </x:c>
      <x:c r="D20" s="52" t="b">
        <x:v>0</x:v>
      </x:c>
      <x:c r="E20" s="61" t="n">
        <x:v>-0.11048636600368</x:v>
      </x:c>
      <x:c r="F20" s="61" t="n">
        <x:v>0.11048636600368</x:v>
      </x:c>
      <x:c r="G20" s="61" t="n">
        <x:f>EXP(E20)</x:f>
        <x:v>0.895398537966637</x:v>
      </x:c>
      <x:c r="H20" s="27" t="str">
        <x:f>IF(E20&gt;0,"Positive",IF(E20&lt;0,"Negative","Zero"))</x:f>
        <x:v>Negative</x:v>
      </x:c>
      <x:c r="I20" s="79"/>
      <x:c r="J20" s="79"/>
      <x:c r="K20" s="79"/>
    </x:row>
    <x:row r="21" ht="15" hidden="0" customHeight="1">
      <x:c r="A21" s="27" t="n">
        <x:v>16</x:v>
      </x:c>
      <x:c r="B21" s="74" t="str">
        <x:v>broad_dollar_change_60d</x:v>
      </x:c>
      <x:c r="C21" s="74" t="str">
        <x:v>broad_dollar_change_60d</x:v>
      </x:c>
      <x:c r="D21" s="52" t="b">
        <x:v>0</x:v>
      </x:c>
      <x:c r="E21" s="61" t="n">
        <x:v>-0.10561450283021075</x:v>
      </x:c>
      <x:c r="F21" s="61" t="n">
        <x:v>0.10561450283021075</x:v>
      </x:c>
      <x:c r="G21" s="61" t="n">
        <x:f>EXP(E21)</x:f>
        <x:v>0.8997714405716641</x:v>
      </x:c>
      <x:c r="H21" s="27" t="str">
        <x:f>IF(E21&gt;0,"Positive",IF(E21&lt;0,"Negative","Zero"))</x:f>
        <x:v>Negative</x:v>
      </x:c>
      <x:c r="I21" s="79"/>
      <x:c r="J21" s="79"/>
      <x:c r="K21" s="79"/>
    </x:row>
    <x:row r="22" ht="15" hidden="0" customHeight="1">
      <x:c r="A22" s="27" t="n">
        <x:v>17</x:v>
      </x:c>
      <x:c r="B22" s="74" t="str">
        <x:v>vix_change_20d</x:v>
      </x:c>
      <x:c r="C22" s="74" t="str">
        <x:v>vix_change_20d</x:v>
      </x:c>
      <x:c r="D22" s="52" t="b">
        <x:v>0</x:v>
      </x:c>
      <x:c r="E22" s="61" t="n">
        <x:v>0.09792321603438772</x:v>
      </x:c>
      <x:c r="F22" s="61" t="n">
        <x:v>0.09792321603438772</x:v>
      </x:c>
      <x:c r="G22" s="61" t="n">
        <x:f>EXP(E22)</x:f>
        <x:v>1.1028780985032727</x:v>
      </x:c>
      <x:c r="H22" s="27" t="str">
        <x:f>IF(E22&gt;0,"Positive",IF(E22&lt;0,"Negative","Zero"))</x:f>
        <x:v>Positive</x:v>
      </x:c>
      <x:c r="I22" s="79"/>
      <x:c r="J22" s="79"/>
      <x:c r="K22" s="79"/>
    </x:row>
    <x:row r="23" ht="15" hidden="0" customHeight="1">
      <x:c r="A23" s="27" t="n">
        <x:v>18</x:v>
      </x:c>
      <x:c r="B23" s="74" t="str">
        <x:v>momentum_20</x:v>
      </x:c>
      <x:c r="C23" s="74" t="str">
        <x:v>momentum_20</x:v>
      </x:c>
      <x:c r="D23" s="52" t="b">
        <x:v>0</x:v>
      </x:c>
      <x:c r="E23" s="61" t="n">
        <x:v>-0.096750159045314</x:v>
      </x:c>
      <x:c r="F23" s="61" t="n">
        <x:v>0.096750159045314</x:v>
      </x:c>
      <x:c r="G23" s="61" t="n">
        <x:f>EXP(E23)</x:f>
        <x:v>0.9077827791196861</x:v>
      </x:c>
      <x:c r="H23" s="27" t="str">
        <x:f>IF(E23&gt;0,"Positive",IF(E23&lt;0,"Negative","Zero"))</x:f>
        <x:v>Negative</x:v>
      </x:c>
      <x:c r="I23" s="79"/>
      <x:c r="J23" s="79"/>
      <x:c r="K23" s="79"/>
    </x:row>
    <x:row r="24" ht="15" hidden="0" customHeight="1">
      <x:c r="A24" s="27" t="n">
        <x:v>19</x:v>
      </x:c>
      <x:c r="B24" s="74" t="str">
        <x:v>dgs2_change_5d</x:v>
      </x:c>
      <x:c r="C24" s="74" t="str">
        <x:v>dgs2_change_5d</x:v>
      </x:c>
      <x:c r="D24" s="52" t="b">
        <x:v>0</x:v>
      </x:c>
      <x:c r="E24" s="61" t="n">
        <x:v>0.09617449089177281</x:v>
      </x:c>
      <x:c r="F24" s="61" t="n">
        <x:v>0.09617449089177281</x:v>
      </x:c>
      <x:c r="G24" s="61" t="n">
        <x:f>EXP(E24)</x:f>
        <x:v>1.1009511531831018</x:v>
      </x:c>
      <x:c r="H24" s="27" t="str">
        <x:f>IF(E24&gt;0,"Positive",IF(E24&lt;0,"Negative","Zero"))</x:f>
        <x:v>Positive</x:v>
      </x:c>
      <x:c r="I24" s="79"/>
      <x:c r="J24" s="79"/>
      <x:c r="K24" s="79"/>
    </x:row>
    <x:row r="25" ht="15" hidden="0" customHeight="1">
      <x:c r="A25" s="27" t="n">
        <x:v>20</x:v>
      </x:c>
      <x:c r="B25" s="74" t="str">
        <x:v>broad_dollar_change_5d</x:v>
      </x:c>
      <x:c r="C25" s="74" t="str">
        <x:v>broad_dollar_change_5d</x:v>
      </x:c>
      <x:c r="D25" s="52" t="b">
        <x:v>0</x:v>
      </x:c>
      <x:c r="E25" s="61" t="n">
        <x:v>0.0898188803595785</x:v>
      </x:c>
      <x:c r="F25" s="61" t="n">
        <x:v>0.0898188803595785</x:v>
      </x:c>
      <x:c r="G25" s="61" t="n">
        <x:f>EXP(E25)</x:f>
        <x:v>1.0939761251981277</x:v>
      </x:c>
      <x:c r="H25" s="27" t="str">
        <x:f>IF(E25&gt;0,"Positive",IF(E25&lt;0,"Negative","Zero"))</x:f>
        <x:v>Positive</x:v>
      </x:c>
      <x:c r="I25" s="79"/>
      <x:c r="J25" s="79"/>
      <x:c r="K25" s="79"/>
    </x:row>
    <x:row r="26" ht="15" hidden="0" customHeight="1">
      <x:c r="A26" s="27" t="n">
        <x:v>21</x:v>
      </x:c>
      <x:c r="B26" s="74" t="str">
        <x:v>broad_dollar_level</x:v>
      </x:c>
      <x:c r="C26" s="74" t="str">
        <x:v>broad_dollar_level</x:v>
      </x:c>
      <x:c r="D26" s="52" t="b">
        <x:v>0</x:v>
      </x:c>
      <x:c r="E26" s="61" t="n">
        <x:v>0.08790300662387049</x:v>
      </x:c>
      <x:c r="F26" s="61" t="n">
        <x:v>0.08790300662387049</x:v>
      </x:c>
      <x:c r="G26" s="61" t="n">
        <x:f>EXP(E26)</x:f>
        <x:v>1.0918822115499391</x:v>
      </x:c>
      <x:c r="H26" s="27" t="str">
        <x:f>IF(E26&gt;0,"Positive",IF(E26&lt;0,"Negative","Zero"))</x:f>
        <x:v>Positive</x:v>
      </x:c>
      <x:c r="I26" s="79"/>
      <x:c r="J26" s="79"/>
      <x:c r="K26" s="79"/>
    </x:row>
    <x:row r="27" ht="15" hidden="0" customHeight="1">
      <x:c r="A27" s="27" t="n">
        <x:v>22</x:v>
      </x:c>
      <x:c r="B27" s="74" t="str">
        <x:v>vix_level</x:v>
      </x:c>
      <x:c r="C27" s="74" t="str">
        <x:v>vix_level</x:v>
      </x:c>
      <x:c r="D27" s="52" t="b">
        <x:v>0</x:v>
      </x:c>
      <x:c r="E27" s="61" t="n">
        <x:v>0.08639374164518675</x:v>
      </x:c>
      <x:c r="F27" s="61" t="n">
        <x:v>0.08639374164518675</x:v>
      </x:c>
      <x:c r="G27" s="61" t="n">
        <x:f>EXP(E27)</x:f>
        <x:v>1.0902355149305496</x:v>
      </x:c>
      <x:c r="H27" s="27" t="str">
        <x:f>IF(E27&gt;0,"Positive",IF(E27&lt;0,"Negative","Zero"))</x:f>
        <x:v>Positive</x:v>
      </x:c>
      <x:c r="I27" s="79"/>
      <x:c r="J27" s="79"/>
      <x:c r="K27" s="79"/>
    </x:row>
    <x:row r="28" ht="15" hidden="0" customHeight="1">
      <x:c r="A28" s="27" t="n">
        <x:v>23</x:v>
      </x:c>
      <x:c r="B28" s="74" t="str">
        <x:v>vix_change_1d</x:v>
      </x:c>
      <x:c r="C28" s="74" t="str">
        <x:v>vix_change_1d</x:v>
      </x:c>
      <x:c r="D28" s="52" t="b">
        <x:v>0</x:v>
      </x:c>
      <x:c r="E28" s="61" t="n">
        <x:v>-0.08499980982941736</x:v>
      </x:c>
      <x:c r="F28" s="61" t="n">
        <x:v>0.08499980982941736</x:v>
      </x:c>
      <x:c r="G28" s="61" t="n">
        <x:f>EXP(E28)</x:f>
        <x:v>0.9185124590754903</x:v>
      </x:c>
      <x:c r="H28" s="27" t="str">
        <x:f>IF(E28&gt;0,"Positive",IF(E28&lt;0,"Negative","Zero"))</x:f>
        <x:v>Negative</x:v>
      </x:c>
      <x:c r="I28" s="79"/>
      <x:c r="J28" s="79"/>
      <x:c r="K28" s="79"/>
    </x:row>
    <x:row r="29" ht="15" hidden="0" customHeight="1">
      <x:c r="A29" s="27" t="n">
        <x:v>24</x:v>
      </x:c>
      <x:c r="B29" s="74" t="str">
        <x:v>spy_volatility_60_ann</x:v>
      </x:c>
      <x:c r="C29" s="74" t="str">
        <x:v>spy_volatility_60_ann</x:v>
      </x:c>
      <x:c r="D29" s="52" t="b">
        <x:v>0</x:v>
      </x:c>
      <x:c r="E29" s="61" t="n">
        <x:v>0.08165012103445611</x:v>
      </x:c>
      <x:c r="F29" s="61" t="n">
        <x:v>0.08165012103445611</x:v>
      </x:c>
      <x:c r="G29" s="61" t="n">
        <x:f>EXP(E29)</x:f>
        <x:v>1.0850760981041088</x:v>
      </x:c>
      <x:c r="H29" s="27" t="str">
        <x:f>IF(E29&gt;0,"Positive",IF(E29&lt;0,"Negative","Zero"))</x:f>
        <x:v>Positive</x:v>
      </x:c>
      <x:c r="I29" s="79"/>
      <x:c r="J29" s="79"/>
      <x:c r="K29" s="79"/>
    </x:row>
    <x:row r="30" ht="15" hidden="0" customHeight="1">
      <x:c r="A30" s="27" t="n">
        <x:v>25</x:v>
      </x:c>
      <x:c r="B30" s="74" t="str">
        <x:v>dgs2_level</x:v>
      </x:c>
      <x:c r="C30" s="74" t="str">
        <x:v>dgs2_level</x:v>
      </x:c>
      <x:c r="D30" s="52" t="b">
        <x:v>0</x:v>
      </x:c>
      <x:c r="E30" s="61" t="n">
        <x:v>-0.0802151001738968</x:v>
      </x:c>
      <x:c r="F30" s="61" t="n">
        <x:v>0.0802151001738968</x:v>
      </x:c>
      <x:c r="G30" s="61" t="n">
        <x:f>EXP(E30)</x:f>
        <x:v>0.9229178052538827</x:v>
      </x:c>
      <x:c r="H30" s="27" t="str">
        <x:f>IF(E30&gt;0,"Positive",IF(E30&lt;0,"Negative","Zero"))</x:f>
        <x:v>Negative</x:v>
      </x:c>
      <x:c r="I30" s="79"/>
      <x:c r="J30" s="79"/>
      <x:c r="K30" s="79"/>
    </x:row>
    <x:row r="31" ht="15" hidden="0" customHeight="1">
      <x:c r="A31" s="27" t="n">
        <x:v>26</x:v>
      </x:c>
      <x:c r="B31" s="74" t="str">
        <x:v>dgs10_change_5d</x:v>
      </x:c>
      <x:c r="C31" s="74" t="str">
        <x:v>dgs10_change_5d</x:v>
      </x:c>
      <x:c r="D31" s="52" t="b">
        <x:v>0</x:v>
      </x:c>
      <x:c r="E31" s="61" t="n">
        <x:v>-0.07033227748333375</x:v>
      </x:c>
      <x:c r="F31" s="61" t="n">
        <x:v>0.07033227748333375</x:v>
      </x:c>
      <x:c r="G31" s="61" t="n">
        <x:f>EXP(E31)</x:f>
        <x:v>0.9320840579003138</x:v>
      </x:c>
      <x:c r="H31" s="27" t="str">
        <x:f>IF(E31&gt;0,"Positive",IF(E31&lt;0,"Negative","Zero"))</x:f>
        <x:v>Negative</x:v>
      </x:c>
      <x:c r="I31" s="79"/>
      <x:c r="J31" s="79"/>
      <x:c r="K31" s="79"/>
    </x:row>
    <x:row r="32" ht="15" hidden="0" customHeight="1">
      <x:c r="A32" s="27" t="n">
        <x:v>27</x:v>
      </x:c>
      <x:c r="B32" s="74" t="str">
        <x:v>spread_median_20_bps</x:v>
      </x:c>
      <x:c r="C32" s="74" t="str">
        <x:v>spread_median_20_bps</x:v>
      </x:c>
      <x:c r="D32" s="52" t="b">
        <x:v>0</x:v>
      </x:c>
      <x:c r="E32" s="61" t="n">
        <x:v>-0.07031918591056344</x:v>
      </x:c>
      <x:c r="F32" s="61" t="n">
        <x:v>0.07031918591056344</x:v>
      </x:c>
      <x:c r="G32" s="61" t="n">
        <x:f>EXP(E32)</x:f>
        <x:v>0.9320962604264608</x:v>
      </x:c>
      <x:c r="H32" s="27" t="str">
        <x:f>IF(E32&gt;0,"Positive",IF(E32&lt;0,"Negative","Zero"))</x:f>
        <x:v>Negative</x:v>
      </x:c>
      <x:c r="I32" s="79"/>
      <x:c r="J32" s="79"/>
      <x:c r="K32" s="79"/>
    </x:row>
    <x:row r="33" ht="15" hidden="0" customHeight="1">
      <x:c r="A33" s="27" t="n">
        <x:v>28</x:v>
      </x:c>
      <x:c r="B33" s="74" t="str">
        <x:v>volatility_20_ann</x:v>
      </x:c>
      <x:c r="C33" s="74" t="str">
        <x:v>volatility_20_ann</x:v>
      </x:c>
      <x:c r="D33" s="52" t="b">
        <x:v>0</x:v>
      </x:c>
      <x:c r="E33" s="61" t="n">
        <x:v>-0.0656667666095704</x:v>
      </x:c>
      <x:c r="F33" s="61" t="n">
        <x:v>0.0656667666095704</x:v>
      </x:c>
      <x:c r="G33" s="61" t="n">
        <x:f>EXP(E33)</x:f>
        <x:v>0.9364428663352747</x:v>
      </x:c>
      <x:c r="H33" s="27" t="str">
        <x:f>IF(E33&gt;0,"Positive",IF(E33&lt;0,"Negative","Zero"))</x:f>
        <x:v>Negative</x:v>
      </x:c>
      <x:c r="I33" s="79"/>
      <x:c r="J33" s="79"/>
      <x:c r="K33" s="79"/>
    </x:row>
    <x:row r="34" ht="15" hidden="0" customHeight="1">
      <x:c r="A34" s="27" t="n">
        <x:v>29</x:v>
      </x:c>
      <x:c r="B34" s="74" t="str">
        <x:v>term_spread_10y_3m</x:v>
      </x:c>
      <x:c r="C34" s="74" t="str">
        <x:v>term_spread_10y_3m</x:v>
      </x:c>
      <x:c r="D34" s="52" t="b">
        <x:v>0</x:v>
      </x:c>
      <x:c r="E34" s="61" t="n">
        <x:v>-0.06442221404111531</x:v>
      </x:c>
      <x:c r="F34" s="61" t="n">
        <x:v>0.06442221404111531</x:v>
      </x:c>
      <x:c r="G34" s="61" t="n">
        <x:f>EXP(E34)</x:f>
        <x:v>0.9376090442441142</x:v>
      </x:c>
      <x:c r="H34" s="27" t="str">
        <x:f>IF(E34&gt;0,"Positive",IF(E34&lt;0,"Negative","Zero"))</x:f>
        <x:v>Negative</x:v>
      </x:c>
      <x:c r="I34" s="79"/>
      <x:c r="J34" s="79"/>
      <x:c r="K34" s="79"/>
    </x:row>
    <x:row r="35" ht="15" hidden="0" customHeight="1">
      <x:c r="A35" s="27" t="n">
        <x:v>30</x:v>
      </x:c>
      <x:c r="B35" s="74" t="str">
        <x:v>term_spread_10y_2y</x:v>
      </x:c>
      <x:c r="C35" s="74" t="str">
        <x:v>term_spread_10y_2y</x:v>
      </x:c>
      <x:c r="D35" s="52" t="b">
        <x:v>0</x:v>
      </x:c>
      <x:c r="E35" s="61" t="n">
        <x:v>0.06344398699634296</x:v>
      </x:c>
      <x:c r="F35" s="61" t="n">
        <x:v>0.06344398699634296</x:v>
      </x:c>
      <x:c r="G35" s="61" t="n">
        <x:f>EXP(E35)</x:f>
        <x:v>1.065499802285634</x:v>
      </x:c>
      <x:c r="H35" s="27" t="str">
        <x:f>IF(E35&gt;0,"Positive",IF(E35&lt;0,"Negative","Zero"))</x:f>
        <x:v>Positive</x:v>
      </x:c>
      <x:c r="I35" s="79"/>
      <x:c r="J35" s="79"/>
      <x:c r="K35" s="79"/>
    </x:row>
    <x:row r="36" ht="15" hidden="0" customHeight="1">
      <x:c r="A36" s="27" t="n">
        <x:v>31</x:v>
      </x:c>
      <x:c r="B36" s="74" t="str">
        <x:v>vix_change_5d</x:v>
      </x:c>
      <x:c r="C36" s="74" t="str">
        <x:v>vix_change_5d</x:v>
      </x:c>
      <x:c r="D36" s="52" t="b">
        <x:v>0</x:v>
      </x:c>
      <x:c r="E36" s="61" t="n">
        <x:v>-0.05718044628575437</x:v>
      </x:c>
      <x:c r="F36" s="61" t="n">
        <x:v>0.05718044628575437</x:v>
      </x:c>
      <x:c r="G36" s="61" t="n">
        <x:f>EXP(E36)</x:f>
        <x:v>0.9444236362526341</x:v>
      </x:c>
      <x:c r="H36" s="27" t="str">
        <x:f>IF(E36&gt;0,"Positive",IF(E36&lt;0,"Negative","Zero"))</x:f>
        <x:v>Negative</x:v>
      </x:c>
      <x:c r="I36" s="79"/>
      <x:c r="J36" s="79"/>
      <x:c r="K36" s="79"/>
    </x:row>
    <x:row r="37" ht="15" hidden="0" customHeight="1">
      <x:c r="A37" s="27" t="n">
        <x:v>32</x:v>
      </x:c>
      <x:c r="B37" s="74" t="str">
        <x:v>broad_dollar_change_20d</x:v>
      </x:c>
      <x:c r="C37" s="74" t="str">
        <x:v>broad_dollar_change_20d</x:v>
      </x:c>
      <x:c r="D37" s="52" t="b">
        <x:v>0</x:v>
      </x:c>
      <x:c r="E37" s="61" t="n">
        <x:v>-0.05576718149652993</x:v>
      </x:c>
      <x:c r="F37" s="61" t="n">
        <x:v>0.05576718149652993</x:v>
      </x:c>
      <x:c r="G37" s="61" t="n">
        <x:f>EXP(E37)</x:f>
        <x:v>0.9457593005251925</x:v>
      </x:c>
      <x:c r="H37" s="27" t="str">
        <x:f>IF(E37&gt;0,"Positive",IF(E37&lt;0,"Negative","Zero"))</x:f>
        <x:v>Negative</x:v>
      </x:c>
      <x:c r="I37" s="79"/>
      <x:c r="J37" s="79"/>
      <x:c r="K37" s="79"/>
    </x:row>
    <x:row r="38" ht="15" hidden="0" customHeight="1">
      <x:c r="A38" s="27" t="n">
        <x:v>33</x:v>
      </x:c>
      <x:c r="B38" s="74" t="str">
        <x:v>beta_126</x:v>
      </x:c>
      <x:c r="C38" s="74" t="str">
        <x:v>beta_126</x:v>
      </x:c>
      <x:c r="D38" s="52" t="b">
        <x:v>0</x:v>
      </x:c>
      <x:c r="E38" s="61" t="n">
        <x:v>0.05570273962470223</x:v>
      </x:c>
      <x:c r="F38" s="61" t="n">
        <x:v>0.05570273962470223</x:v>
      </x:c>
      <x:c r="G38" s="61" t="n">
        <x:f>EXP(E38)</x:f>
        <x:v>1.0572833485742386</x:v>
      </x:c>
      <x:c r="H38" s="27" t="str">
        <x:f>IF(E38&gt;0,"Positive",IF(E38&lt;0,"Negative","Zero"))</x:f>
        <x:v>Positive</x:v>
      </x:c>
      <x:c r="I38" s="79"/>
      <x:c r="J38" s="79"/>
      <x:c r="K38" s="79"/>
    </x:row>
    <x:row r="39" ht="15" hidden="0" customHeight="1">
      <x:c r="A39" s="27" t="n">
        <x:v>34</x:v>
      </x:c>
      <x:c r="B39" s="74" t="str">
        <x:v>dgs10_level</x:v>
      </x:c>
      <x:c r="C39" s="74" t="str">
        <x:v>dgs10_level</x:v>
      </x:c>
      <x:c r="D39" s="52" t="b">
        <x:v>0</x:v>
      </x:c>
      <x:c r="E39" s="61" t="n">
        <x:v>-0.052933218015960674</x:v>
      </x:c>
      <x:c r="F39" s="61" t="n">
        <x:v>0.052933218015960674</x:v>
      </x:c>
      <x:c r="G39" s="61" t="n">
        <x:f>EXP(E39)</x:f>
        <x:v>0.9484433492960105</x:v>
      </x:c>
      <x:c r="H39" s="27" t="str">
        <x:f>IF(E39&gt;0,"Positive",IF(E39&lt;0,"Negative","Zero"))</x:f>
        <x:v>Negative</x:v>
      </x:c>
      <x:c r="I39" s="79"/>
      <x:c r="J39" s="79"/>
      <x:c r="K39" s="79"/>
    </x:row>
    <x:row r="40" ht="15" hidden="0" customHeight="1">
      <x:c r="A40" s="27" t="n">
        <x:v>35</x:v>
      </x:c>
      <x:c r="B40" s="74" t="str">
        <x:v>idio_vol_126_ann</x:v>
      </x:c>
      <x:c r="C40" s="74" t="str">
        <x:v>idio_vol_126_ann</x:v>
      </x:c>
      <x:c r="D40" s="52" t="b">
        <x:v>0</x:v>
      </x:c>
      <x:c r="E40" s="61" t="n">
        <x:v>0.04639496714631817</x:v>
      </x:c>
      <x:c r="F40" s="61" t="n">
        <x:v>0.04639496714631817</x:v>
      </x:c>
      <x:c r="G40" s="61" t="n">
        <x:f>EXP(E40)</x:f>
        <x:v>1.0474880526310741</x:v>
      </x:c>
      <x:c r="H40" s="27" t="str">
        <x:f>IF(E40&gt;0,"Positive",IF(E40&lt;0,"Negative","Zero"))</x:f>
        <x:v>Positive</x:v>
      </x:c>
      <x:c r="I40" s="79"/>
      <x:c r="J40" s="79"/>
      <x:c r="K40" s="79"/>
    </x:row>
    <x:row r="41" ht="15" hidden="0" customHeight="1">
      <x:c r="A41" s="27" t="n">
        <x:v>36</x:v>
      </x:c>
      <x:c r="B41" s="74" t="str">
        <x:v>spread_median_60_bps</x:v>
      </x:c>
      <x:c r="C41" s="74" t="str">
        <x:v>spread_median_60_bps</x:v>
      </x:c>
      <x:c r="D41" s="52" t="b">
        <x:v>0</x:v>
      </x:c>
      <x:c r="E41" s="61" t="n">
        <x:v>0.02567381962271006</x:v>
      </x:c>
      <x:c r="F41" s="61" t="n">
        <x:v>0.02567381962271006</x:v>
      </x:c>
      <x:c r="G41" s="61" t="n">
        <x:f>EXP(E41)</x:f>
        <x:v>1.026006230787779</x:v>
      </x:c>
      <x:c r="H41" s="27" t="str">
        <x:f>IF(E41&gt;0,"Positive",IF(E41&lt;0,"Negative","Zero"))</x:f>
        <x:v>Positive</x:v>
      </x:c>
      <x:c r="I41" s="79"/>
      <x:c r="J41" s="79"/>
      <x:c r="K41" s="79"/>
    </x:row>
    <x:row r="42" ht="15" hidden="0" customHeight="1">
      <x:c r="A42" s="27" t="n">
        <x:v>37</x:v>
      </x:c>
      <x:c r="B42" s="74" t="str">
        <x:v>spy_momentum_5</x:v>
      </x:c>
      <x:c r="C42" s="74" t="str">
        <x:v>spy_momentum_5</x:v>
      </x:c>
      <x:c r="D42" s="52" t="b">
        <x:v>0</x:v>
      </x:c>
      <x:c r="E42" s="61" t="n">
        <x:v>0.023195780331901946</x:v>
      </x:c>
      <x:c r="F42" s="61" t="n">
        <x:v>0.023195780331901946</x:v>
      </x:c>
      <x:c r="G42" s="61" t="n">
        <x:f>EXP(E42)</x:f>
        <x:v>1.0234668946221057</x:v>
      </x:c>
      <x:c r="H42" s="27" t="str">
        <x:f>IF(E42&gt;0,"Positive",IF(E42&lt;0,"Negative","Zero"))</x:f>
        <x:v>Positive</x:v>
      </x:c>
      <x:c r="I42" s="79"/>
      <x:c r="J42" s="79"/>
      <x:c r="K42" s="79"/>
    </x:row>
    <x:row r="43" ht="15" hidden="0" customHeight="1">
      <x:c r="A43" s="27" t="n">
        <x:v>38</x:v>
      </x:c>
      <x:c r="B43" s="74" t="str">
        <x:v>beta_obs_126</x:v>
      </x:c>
      <x:c r="C43" s="74" t="str">
        <x:v>beta_obs_126</x:v>
      </x:c>
      <x:c r="D43" s="52" t="b">
        <x:v>0</x:v>
      </x:c>
      <x:c r="E43" s="61" t="n">
        <x:v>0.014090266928731741</x:v>
      </x:c>
      <x:c r="F43" s="61" t="n">
        <x:v>0.014090266928731741</x:v>
      </x:c>
      <x:c r="G43" s="61" t="n">
        <x:f>EXP(E43)</x:f>
        <x:v>1.0141900026234338</x:v>
      </x:c>
      <x:c r="H43" s="27" t="str">
        <x:f>IF(E43&gt;0,"Positive",IF(E43&lt;0,"Negative","Zero"))</x:f>
        <x:v>Positive</x:v>
      </x:c>
      <x:c r="I43" s="79"/>
      <x:c r="J43" s="79"/>
      <x:c r="K43" s="79"/>
    </x:row>
    <x:row r="44" ht="15" hidden="0" customHeight="1">
      <x:c r="A44" s="27" t="n">
        <x:v>39</x:v>
      </x:c>
      <x:c r="B44" s="74" t="str">
        <x:v>vix_percentile_252d</x:v>
      </x:c>
      <x:c r="C44" s="74" t="str">
        <x:v>vix_percentile_252d</x:v>
      </x:c>
      <x:c r="D44" s="52" t="b">
        <x:v>0</x:v>
      </x:c>
      <x:c r="E44" s="61" t="n">
        <x:v>-0.011897625886214581</x:v>
      </x:c>
      <x:c r="F44" s="61" t="n">
        <x:v>0.011897625886214581</x:v>
      </x:c>
      <x:c r="G44" s="61" t="n">
        <x:f>EXP(E44)</x:f>
        <x:v>0.9881728710057905</x:v>
      </x:c>
      <x:c r="H44" s="27" t="str">
        <x:f>IF(E44&gt;0,"Positive",IF(E44&lt;0,"Negative","Zero"))</x:f>
        <x:v>Negative</x:v>
      </x:c>
      <x:c r="I44" s="79"/>
      <x:c r="J44" s="79"/>
      <x:c r="K44" s="79"/>
    </x:row>
    <x:row r="45" ht="15" hidden="0" customHeight="1">
      <x:c r="A45" s="27" t="n">
        <x:v>40</x:v>
      </x:c>
      <x:c r="B45" s="74" t="str">
        <x:v>dgs3mo_level</x:v>
      </x:c>
      <x:c r="C45" s="74" t="str">
        <x:v>dgs3mo_level</x:v>
      </x:c>
      <x:c r="D45" s="52" t="b">
        <x:v>0</x:v>
      </x:c>
      <x:c r="E45" s="61" t="n">
        <x:v>0.011575788695116935</x:v>
      </x:c>
      <x:c r="F45" s="61" t="n">
        <x:v>0.011575788695116935</x:v>
      </x:c>
      <x:c r="G45" s="61" t="n">
        <x:f>EXP(E45)</x:f>
        <x:v>1.0116430474107578</x:v>
      </x:c>
      <x:c r="H45" s="27" t="str">
        <x:f>IF(E45&gt;0,"Positive",IF(E45&lt;0,"Negative","Zero"))</x:f>
        <x:v>Positive</x:v>
      </x:c>
      <x:c r="I45" s="79"/>
      <x:c r="J45" s="79"/>
      <x:c r="K45" s="79"/>
    </x:row>
    <x:row r="46" ht="15" hidden="0" customHeight="1">
      <x:c r="A46" s="27" t="n">
        <x:v>41</x:v>
      </x:c>
      <x:c r="B46" s="74" t="str">
        <x:v>spy_momentum_1</x:v>
      </x:c>
      <x:c r="C46" s="74" t="str">
        <x:v>spy_momentum_1</x:v>
      </x:c>
      <x:c r="D46" s="52" t="b">
        <x:v>0</x:v>
      </x:c>
      <x:c r="E46" s="61" t="n">
        <x:v>-0.010493152818840683</x:v>
      </x:c>
      <x:c r="F46" s="61" t="n">
        <x:v>0.010493152818840683</x:v>
      </x:c>
      <x:c r="G46" s="61" t="n">
        <x:f>EXP(E46)</x:f>
        <x:v>0.9895617082529867</x:v>
      </x:c>
      <x:c r="H46" s="27" t="str">
        <x:f>IF(E46&gt;0,"Positive",IF(E46&lt;0,"Negative","Zero"))</x:f>
        <x:v>Negative</x:v>
      </x:c>
      <x:c r="I46" s="79"/>
      <x:c r="J46" s="79"/>
      <x:c r="K46" s="79"/>
    </x:row>
    <x:row r="47" ht="15" hidden="0" customHeight="1">
      <x:c r="A47" s="28" t="n">
        <x:v>42</x:v>
      </x:c>
      <x:c r="B47" s="75" t="str">
        <x:v>dgs2_change_20d</x:v>
      </x:c>
      <x:c r="C47" s="75" t="str">
        <x:v>dgs2_change_20d</x:v>
      </x:c>
      <x:c r="D47" s="53" t="b">
        <x:v>0</x:v>
      </x:c>
      <x:c r="E47" s="62" t="n">
        <x:v>0.005976327878184194</x:v>
      </x:c>
      <x:c r="F47" s="62" t="n">
        <x:v>0.005976327878184194</x:v>
      </x:c>
      <x:c r="G47" s="62" t="n">
        <x:f>EXP(E47)</x:f>
        <x:v>1.005994221754435</x:v>
      </x:c>
      <x:c r="H47" s="28" t="str">
        <x:f>IF(E47&gt;0,"Positive",IF(E47&lt;0,"Negative","Zero"))</x:f>
        <x:v>Positive</x:v>
      </x:c>
      <x:c r="I47" s="79"/>
      <x:c r="J47" s="79"/>
      <x:c r="K47" s="7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3" hidden="0" customWidth="1"/>
    <x:col min="3" max="3" width="58" hidden="0" customWidth="1"/>
    <x:col min="4" max="4" width="28" hidden="0" customWidth="1"/>
    <x:col min="5" max="5" width="28" hidden="0" customWidth="1"/>
    <x:col min="6" max="6" width="48" hidden="0" customWidth="1"/>
    <x:col min="7" max="7" width="26" hidden="0" customWidth="1"/>
  </x:cols>
  <x:sheetData>
    <x:row r="2" ht="18" hidden="0" customHeight="1">
      <x:c r="A2" s="80" t="str">
        <x:v>Material Data Processing and Audit Trail</x:v>
      </x:c>
      <x:c r="B2" s="81"/>
      <x:c r="C2" s="81"/>
      <x:c r="D2" s="81"/>
      <x:c r="E2" s="81"/>
      <x:c r="F2" s="81"/>
      <x:c r="G2" s="81"/>
    </x:row>
    <x:row r="3" ht="15" hidden="0" customHeight="1">
      <x:c r="A3" s="82" t="str">
        <x:v>BMF5360 | validation-only baseline package | test period remains sealed</x:v>
      </x:c>
      <x:c r="B3" s="79"/>
      <x:c r="C3" s="79"/>
      <x:c r="D3" s="79"/>
      <x:c r="E3" s="79"/>
      <x:c r="F3" s="79"/>
      <x:c r="G3" s="79"/>
    </x:row>
    <x:row r="4" ht="15" hidden="0" customHeight="1">
      <x:c r="A4" s="79"/>
      <x:c r="B4" s="79"/>
      <x:c r="C4" s="79"/>
      <x:c r="D4" s="79"/>
      <x:c r="E4" s="79"/>
      <x:c r="F4" s="79"/>
      <x:c r="G4" s="79"/>
    </x:row>
    <x:row r="5" ht="15" hidden="0" customHeight="1">
      <x:c r="A5" s="22" t="str">
        <x:v>Stage</x:v>
      </x:c>
      <x:c r="B5" s="47" t="str">
        <x:v>Input</x:v>
      </x:c>
      <x:c r="C5" s="47" t="str">
        <x:v>Rule</x:v>
      </x:c>
      <x:c r="D5" s="47" t="str">
        <x:v>Before</x:v>
      </x:c>
      <x:c r="E5" s="47" t="str">
        <x:v>After</x:v>
      </x:c>
      <x:c r="F5" s="47" t="str">
        <x:v>Missing / excluded treatment</x:v>
      </x:c>
      <x:c r="G5" s="23" t="str">
        <x:v>Status</x:v>
      </x:c>
    </x:row>
    <x:row r="6" ht="15" hidden="0" customHeight="1">
      <x:c r="A6" s="57" t="str">
        <x:v>Universe</x:v>
      </x:c>
      <x:c r="B6" s="54" t="str">
        <x:v>781-RIC corrected membership spans</x:v>
      </x:c>
      <x:c r="C6" s="54" t="str">
        <x:v>49-RIC AI taxonomy; no return screen; keep delisted</x:v>
      </x:c>
      <x:c r="D6" s="54" t="str">
        <x:v>781 RIC</x:v>
      </x:c>
      <x:c r="E6" s="54" t="str">
        <x:v>49 registered RIC</x:v>
      </x:c>
      <x:c r="F6" s="54" t="str">
        <x:v>40 roles provisional-static; 5 have no 2021-22 active span</x:v>
      </x:c>
      <x:c r="G6" s="54" t="str">
        <x:v>audited</x:v>
      </x:c>
    </x:row>
    <x:row r="7" ht="15" hidden="0" customHeight="1">
      <x:c r="A7" s="58" t="str">
        <x:v>Prices</x:v>
      </x:c>
      <x:c r="B7" s="55" t="str">
        <x:v>LSEG clean v3</x:v>
      </x:c>
      <x:c r="C7" s="55" t="str">
        <x:v>Adjusted close/return/volume/quotes retained; no second split adjustment</x:v>
      </x:c>
      <x:c r="D7" s="55" t="str">
        <x:v>2,084,177 rows</x:v>
      </x:c>
      <x:c r="E7" s="55" t="str">
        <x:v>source preserved</x:v>
      </x:c>
      <x:c r="F7" s="55" t="str">
        <x:v>Missing remains NA</x:v>
      </x:c>
      <x:c r="G7" s="55" t="str">
        <x:v>31/31 passed</x:v>
      </x:c>
    </x:row>
    <x:row r="8" ht="15" hidden="0" customHeight="1">
      <x:c r="A8" s="58" t="str">
        <x:v>Technical features</x:v>
      </x:c>
      <x:c r="B8" s="55" t="str">
        <x:v>Clean prices and SPY sessions</x:v>
      </x:c>
      <x:c r="C8" s="55" t="str">
        <x:v>Rolling values end on F-1</x:v>
      </x:c>
      <x:c r="D8" s="55" t="str">
        <x:v>daily observations</x:v>
      </x:c>
      <x:c r="E8" s="55" t="str">
        <x:v>21 included variables</x:v>
      </x:c>
      <x:c r="F8" s="55" t="str">
        <x:v>Windows without enough history remain NA</x:v>
      </x:c>
      <x:c r="G8" s="55" t="str">
        <x:v>audited</x:v>
      </x:c>
    </x:row>
    <x:row r="9" ht="15" hidden="0" customHeight="1">
      <x:c r="A9" s="58" t="str">
        <x:v>Macro raw</x:v>
      </x:c>
      <x:c r="B9" s="55" t="str">
        <x:v>FRED 7 series</x:v>
      </x:c>
      <x:c r="C9" s="55" t="str">
        <x:v>Retain raw observations and source dates</x:v>
      </x:c>
      <x:c r="D9" s="55" t="str">
        <x:v>18,345 rows</x:v>
      </x:c>
      <x:c r="E9" s="55" t="str">
        <x:v>18,345 rows</x:v>
      </x:c>
      <x:c r="F9" s="55" t="str">
        <x:v>Provider missing tokens remain flagged</x:v>
      </x:c>
      <x:c r="G9" s="55" t="str">
        <x:v>75/75 passed</x:v>
      </x:c>
    </x:row>
    <x:row r="10" ht="15" hidden="0" customHeight="1">
      <x:c r="A10" s="58" t="str">
        <x:v>Macro alignment</x:v>
      </x:c>
      <x:c r="B10" s="55" t="str">
        <x:v>FRED raw + SPY calendar</x:v>
      </x:c>
      <x:c r="C10" s="55" t="str">
        <x:v>For F, use latest publication available by F-1; no future carry</x:v>
      </x:c>
      <x:c r="D10" s="55" t="str">
        <x:v>7 source series</x:v>
      </x:c>
      <x:c r="E10" s="55" t="str">
        <x:v>3,228 SPY sessions</x:v>
      </x:c>
      <x:c r="F10" s="55" t="str">
        <x:v>Weekend/holiday carry records age/source date</x:v>
      </x:c>
      <x:c r="G10" s="55" t="str">
        <x:v>158/158 passed</x:v>
      </x:c>
    </x:row>
    <x:row r="11" ht="15" hidden="0" customHeight="1">
      <x:c r="A11" s="58" t="str">
        <x:v>Credit spreads</x:v>
      </x:c>
      <x:c r="B11" s="55" t="str">
        <x:v>HY/IG OAS</x:v>
      </x:c>
      <x:c r="C11" s="55" t="str">
        <x:v>Exclude from development model; do not impute</x:v>
      </x:c>
      <x:c r="D11" s="55" t="str">
        <x:v>6 candidate variables</x:v>
      </x:c>
      <x:c r="E11" s="55" t="str">
        <x:v>0 included</x:v>
      </x:c>
      <x:c r="F11" s="55" t="str">
        <x:v>First valid source date 2023-09-11</x:v>
      </x:c>
      <x:c r="G11" s="55" t="str">
        <x:v>reason-coded exclusion</x:v>
      </x:c>
    </x:row>
    <x:row r="12" ht="15" hidden="0" customHeight="1">
      <x:c r="A12" s="58" t="str">
        <x:v>Model-ready</x:v>
      </x:c>
      <x:c r="B12" s="55" t="str">
        <x:v>49-RIC daily panel</x:v>
      </x:c>
      <x:c r="C12" s="55" t="str">
        <x:v>H21 label and non-overlap anchors; preserve master rows</x:v>
      </x:c>
      <x:c r="D12" s="55" t="str">
        <x:v>110,829 company-days</x:v>
      </x:c>
      <x:c r="E12" s="55" t="str">
        <x:v>2,334 train + 992 validation anchors</x:v>
      </x:c>
      <x:c r="F12" s="55" t="str">
        <x:v>39 train / 44 validation instruments</x:v>
      </x:c>
      <x:c r="G12" s="55" t="str">
        <x:v>audited</x:v>
      </x:c>
    </x:row>
    <x:row r="13" ht="15" hidden="0" customHeight="1">
      <x:c r="A13" s="58" t="str">
        <x:v>Missing values</x:v>
      </x:c>
      <x:c r="B13" s="55" t="str">
        <x:v>41 model features</x:v>
      </x:c>
      <x:c r="C13" s="55" t="str">
        <x:v>Training-only median + missing indicators inside pipeline</x:v>
      </x:c>
      <x:c r="D13" s="55" t="str">
        <x:v>NA preserved in source</x:v>
      </x:c>
      <x:c r="E13" s="55" t="str">
        <x:v>42 transformed columns</x:v>
      </x:c>
      <x:c r="F13" s="55" t="str">
        <x:v>No zero/forward fill/winsorization</x:v>
      </x:c>
      <x:c r="G13" s="55" t="str">
        <x:v>model pipeline</x:v>
      </x:c>
    </x:row>
    <x:row r="14" ht="15" hidden="0" customHeight="1">
      <x:c r="A14" s="59" t="str">
        <x:v>Validation</x:v>
      </x:c>
      <x:c r="B14" s="56" t="str">
        <x:v>2021-2022 anchors</x:v>
      </x:c>
      <x:c r="C14" s="56" t="str">
        <x:v>No random split; no threshold tuning on validation</x:v>
      </x:c>
      <x:c r="D14" s="56" t="str">
        <x:v>992 rows</x:v>
      </x:c>
      <x:c r="E14" s="56" t="str">
        <x:v>992 predictions</x:v>
      </x:c>
      <x:c r="F14" s="56" t="str">
        <x:v>0 test predictions / 0 test metrics</x:v>
      </x:c>
      <x:c r="G14" s="56" t="str">
        <x:v>74/74 model audit passed</x:v>
      </x:c>
    </x:row>
  </x:sheetData>
  <x:conditionalFormatting sqref="G6:G14">
    <x:cfRule type="containsText" dxfId="1" priority="1" operator="containsText" text="pass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2" ht="18" hidden="0" customHeight="1">
      <x:c r="A2" s="80" t="str">
        <x:v>Sources, Reproduction Notes and Submission Caveats</x:v>
      </x:c>
      <x:c r="B2" s="81"/>
      <x:c r="C2" s="81"/>
      <x:c r="D2" s="81"/>
    </x:row>
    <x:row r="3" ht="15" hidden="0" customHeight="1">
      <x:c r="A3" s="82" t="str">
        <x:v>BMF5360 | validation-only baseline package | test period remains sealed</x:v>
      </x:c>
      <x:c r="B3" s="79"/>
      <x:c r="C3" s="79"/>
      <x:c r="D3" s="79"/>
    </x:row>
    <x:row r="4" ht="15" hidden="0" customHeight="1">
      <x:c r="A4" s="79"/>
      <x:c r="B4" s="79"/>
      <x:c r="C4" s="79"/>
      <x:c r="D4" s="79"/>
    </x:row>
    <x:row r="5" ht="15" hidden="0" customHeight="1">
      <x:c r="A5" s="22" t="str">
        <x:v>Artifact</x:v>
      </x:c>
      <x:c r="B5" s="23" t="str">
        <x:v>Project-relative path</x:v>
      </x:c>
      <x:c r="C5" s="79"/>
      <x:c r="D5" s="79"/>
    </x:row>
    <x:row r="6" ht="15" hidden="0" customHeight="1">
      <x:c r="A6" s="26" t="str">
        <x:v>Candidate registry</x:v>
      </x:c>
      <x:c r="B6" s="26" t="str">
        <x:v>data/audit/ai_pool_expansion_v1/20260910T045000Z/candidate_registry.csv</x:v>
      </x:c>
      <x:c r="C6" s="79"/>
      <x:c r="D6" s="79"/>
    </x:row>
    <x:row r="7" ht="15" hidden="0" customHeight="1">
      <x:c r="A7" s="27" t="str">
        <x:v>Model configuration</x:v>
      </x:c>
      <x:c r="B7" s="27" t="str">
        <x:v>ai_pool_daily_state_models_v1_1_config.json</x:v>
      </x:c>
      <x:c r="C7" s="79"/>
      <x:c r="D7" s="79"/>
    </x:row>
    <x:row r="8" ht="15" hidden="0" customHeight="1">
      <x:c r="A8" s="27" t="str">
        <x:v>Feature sets</x:v>
      </x:c>
      <x:c r="B8" s="27" t="str">
        <x:v>data/model_runs/ai_pool_daily_state_models_v1_1/20260910T070000000000Z/feature_sets.json</x:v>
      </x:c>
      <x:c r="C8" s="79"/>
      <x:c r="D8" s="79"/>
    </x:row>
    <x:row r="9" ht="15" hidden="0" customHeight="1">
      <x:c r="A9" s="27" t="str">
        <x:v>Validation metrics</x:v>
      </x:c>
      <x:c r="B9" s="27" t="str">
        <x:v>data/model_runs/ai_pool_daily_state_models_v1_1/20260910T070000000000Z/validation_metrics.csv</x:v>
      </x:c>
      <x:c r="C9" s="79"/>
      <x:c r="D9" s="79"/>
    </x:row>
    <x:row r="10" ht="15" hidden="0" customHeight="1">
      <x:c r="A10" s="27" t="str">
        <x:v>Stored Logistic model</x:v>
      </x:c>
      <x:c r="B10" s="27" t="str">
        <x:v>data/model_runs/ai_pool_daily_state_models_v1_1/20260910T070000000000Z/models/technical_plus_macro_logistic.joblib</x:v>
      </x:c>
      <x:c r="C10" s="79"/>
      <x:c r="D10" s="79"/>
    </x:row>
    <x:row r="11" ht="15" hidden="0" customHeight="1">
      <x:c r="A11" s="27" t="str">
        <x:v>Macro definitions</x:v>
      </x:c>
      <x:c r="B11" s="27" t="str">
        <x:v>data/clean/daily_macro_v1/20260910T062700000000Z/feature_definitions.json</x:v>
      </x:c>
      <x:c r="C11" s="79"/>
      <x:c r="D11" s="79"/>
    </x:row>
    <x:row r="12" ht="15" hidden="0" customHeight="1">
      <x:c r="A12" s="27" t="str">
        <x:v>Full processing log</x:v>
      </x:c>
      <x:c r="B12" s="27" t="str">
        <x:v>DATA_PROCESSING_LOG.md</x:v>
      </x:c>
      <x:c r="C12" s="79"/>
      <x:c r="D12" s="79"/>
    </x:row>
    <x:row r="13" ht="15" hidden="0" customHeight="1">
      <x:c r="A13" s="28" t="str">
        <x:v>AI-use log</x:v>
      </x:c>
      <x:c r="B13" s="28" t="str">
        <x:v>AI_USE_LOG.md</x:v>
      </x:c>
      <x:c r="C13" s="79"/>
      <x:c r="D13" s="79"/>
    </x:row>
    <x:row r="14" ht="15" hidden="0" customHeight="1">
      <x:c r="A14" s="79"/>
      <x:c r="B14" s="79"/>
      <x:c r="C14" s="79"/>
      <x:c r="D14" s="79"/>
    </x:row>
    <x:row r="15" ht="15" hidden="0" customHeight="1">
      <x:c r="A15" s="79"/>
      <x:c r="B15" s="79"/>
      <x:c r="C15" s="79"/>
      <x:c r="D15" s="79"/>
    </x:row>
    <x:row r="16" ht="15" hidden="0" customHeight="1">
      <x:c r="A16" s="83" t="str">
        <x:v>Submission notes</x:v>
      </x:c>
      <x:c r="B16" s="83"/>
      <x:c r="C16" s="83"/>
      <x:c r="D16" s="83"/>
    </x:row>
    <x:row r="17" ht="15" hidden="0" customHeight="1">
      <x:c r="A17" s="79"/>
      <x:c r="B17" s="79"/>
      <x:c r="C17" s="79"/>
      <x:c r="D17" s="79"/>
    </x:row>
    <x:row r="18" ht="15" hidden="0" customHeight="1">
      <x:c r="A18" s="100" t="str">
        <x:v>Main result</x:v>
      </x:c>
      <x:c r="B18" s="101" t="str">
        <x:v>Technical + macro Logistic validation ROC-AUC = 0.561559</x:v>
      </x:c>
      <x:c r="C18" s="79"/>
      <x:c r="D18" s="79"/>
    </x:row>
    <x:row r="19" ht="15" hidden="0" customHeight="1">
      <x:c r="A19" s="100" t="str">
        <x:v>Interpretation</x:v>
      </x:c>
      <x:c r="B19" s="101" t="str">
        <x:v>AUC measures ranking/classification quality; it is not return, Sharpe or R-squared.</x:v>
      </x:c>
      <x:c r="C19" s="79"/>
      <x:c r="D19" s="79"/>
    </x:row>
    <x:row r="20" ht="15" hidden="0" customHeight="1">
      <x:c r="A20" s="100" t="str">
        <x:v>Evidence limit</x:v>
      </x:c>
      <x:c r="B20" s="101" t="str">
        <x:v>Only 9/49 companies have direct local point-in-time role evidence; 40/49 use provisional static descriptions.</x:v>
      </x:c>
      <x:c r="C20" s="79"/>
      <x:c r="D20" s="79"/>
    </x:row>
    <x:row r="21" ht="15" hidden="0" customHeight="1">
      <x:c r="A21" s="100" t="str">
        <x:v>Missing data</x:v>
      </x:c>
      <x:c r="B21" s="101" t="str">
        <x:v>Source NA values remain NA. Median imputation and missing indicators are fitted inside the training pipeline only.</x:v>
      </x:c>
      <x:c r="C21" s="79"/>
      <x:c r="D21" s="79"/>
    </x:row>
    <x:row r="22" ht="15" hidden="0" customHeight="1">
      <x:c r="A22" s="100" t="str">
        <x:v>Corporate actions</x:v>
      </x:c>
      <x:c r="B22" s="101" t="str">
        <x:v>Adjusted prices already include supplier corporate-action treatment; no second stock-split adjustment is applied.</x:v>
      </x:c>
      <x:c r="C22" s="79"/>
      <x:c r="D22" s="79"/>
    </x:row>
    <x:row r="23" ht="15" hidden="0" customHeight="1">
      <x:c r="A23" s="100" t="str">
        <x:v>Test protection</x:v>
      </x:c>
      <x:c r="B23" s="101" t="str">
        <x:v>2023-01-01 to 2026-06-30 target data remain sealed.</x:v>
      </x:c>
      <x:c r="C23" s="79"/>
      <x:c r="D23" s="79"/>
    </x:row>
  </x:sheetData>
  <x:pageMargins left="0.7" right="0.7" top="0.75" bottom="0.75" header="0.3" footer="0.3"/>
</x:worksheet>
</file>